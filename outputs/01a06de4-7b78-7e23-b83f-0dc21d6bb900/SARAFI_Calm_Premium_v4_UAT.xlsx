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99a40188c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44a4ba06ce5e4e23"/>
    <x:sheet xmlns:r="http://schemas.openxmlformats.org/officeDocument/2006/relationships" name="Task Sessions" sheetId="2" r:id="R87ee162559a54679"/>
    <x:sheet xmlns:r="http://schemas.openxmlformats.org/officeDocument/2006/relationships" name="Participants" sheetId="3" r:id="Rb78306523bbf4c29"/>
    <x:sheet xmlns:r="http://schemas.openxmlformats.org/officeDocument/2006/relationships" name="Language Review" sheetId="4" r:id="R2888d0ae356245c0"/>
    <x:sheet xmlns:r="http://schemas.openxmlformats.org/officeDocument/2006/relationships" name="Instructions" sheetId="5" r:id="R439f566a7577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"/>
    <x:numFmt numFmtId="202" formatCode="0"/>
    <x:numFmt numFmtId="203" formatCode="yyyy-mm-dd"/>
  </x:numFmts>
  <x:fonts count="9">
    <x:font>
      <x:sz val="11"/>
      <x:name val="Carlito"/>
    </x:font>
    <x:font>
      <x:b/>
      <x:sz val="18"/>
      <x:color rgb="FF102A36"/>
      <x:name val="Arial"/>
    </x:font>
    <x:font>
      <x:i/>
      <x:sz val="10"/>
      <x:color rgb="FF5E6D70"/>
      <x:name val="Arial"/>
    </x:font>
    <x:font>
      <x:b/>
      <x:sz val="11"/>
      <x:color rgb="FF102A36"/>
      <x:name val="Arial"/>
    </x:font>
    <x:font>
      <x:sz val="10"/>
      <x:color rgb="FF102A36"/>
      <x:name val="Arial"/>
    </x:font>
    <x:font>
      <x:b/>
      <x:sz val="10"/>
      <x:color rgb="FFFFFFFF"/>
      <x:name val="Arial"/>
    </x:font>
    <x:font>
      <x:b/>
      <x:sz val="14"/>
      <x:color rgb="FF9B1C1C"/>
      <x:name val="Arial"/>
    </x:font>
    <x:font>
      <x:b/>
      <x:sz val="10"/>
      <x:color rgb="FF102A36"/>
      <x:name val="Arial"/>
    </x:font>
    <x:font>
      <x:sz val="10"/>
      <x:color rgb="FF5E6D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102A36"/>
      </x:patternFill>
    </x:fill>
    <x:fill>
      <x:patternFill patternType="solid">
        <x:fgColor rgb="FFF6F7F5"/>
      </x:patternFill>
    </x:fill>
  </x:fills>
  <x:borders count="5">
    <x:border/>
    <x:border>
      <x:bottom style="medium">
        <x:color rgb="FFD9B85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202" fontId="4" fillId="2" borderId="0" xfId="0" applyNumberFormat="1" applyFont="1" applyFill="1" applyBorder="1"/>
    <x:xf numFmtId="201" fontId="4" fillId="2" borderId="0" xfId="0" applyNumberFormat="1" applyFont="1" applyFill="1" applyBorder="1"/>
    <x:xf numFmtId="203" fontId="4" fillId="2" borderId="0" xfId="0" applyNumberFormat="1" applyFont="1" applyFill="1" applyBorder="1"/>
    <x:xf numFmtId="202" fontId="8" fillId="4" borderId="0" xfId="0" applyNumberFormat="1" applyFont="1" applyFill="1" applyBorder="1"/>
    <x:xf numFmtId="202" fontId="4" fillId="4" borderId="0" xfId="0" applyNumberFormat="1" applyFont="1" applyFill="1" applyBorder="1"/>
    <x:xf numFmtId="203" fontId="4" fillId="2" borderId="0" xfId="0" applyNumberFormat="1" applyFont="1" applyFill="1" applyBorder="1" applyAlignment="1">
      <x:alignment wrapText="1"/>
    </x:xf>
    <x:xf numFmtId="202" fontId="4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b/>
        <x:color rgb="FF17643A"/>
      </x:font>
      <x:fill>
        <x:patternFill>
          <x:bgColor rgb="FFE4F4EA"/>
        </x:patternFill>
      </x:fill>
    </x:dxf>
    <x:dxf>
      <x:font>
        <x:b/>
        <x:color rgb="FF9B1C1C"/>
      </x:font>
      <x:fill>
        <x:patternFill>
          <x:bgColor rgb="FFFDE8E7"/>
        </x:patternFill>
      </x:fill>
    </x:dxf>
    <x:dxf>
      <x:font>
        <x:b/>
        <x:color rgb="FF102A36"/>
      </x:font>
      <x:fill>
        <x:patternFill>
          <x:bgColor rgb="FFFFF4D6"/>
        </x:patternFill>
      </x:fill>
    </x:dxf>
    <x:dxf>
      <x:font>
        <x:b/>
        <x:color rgb="FF17643A"/>
      </x:font>
      <x:fill>
        <x:patternFill>
          <x:bgColor rgb="FFE4F4EA"/>
        </x:patternFill>
      </x:fill>
    </x:dxf>
    <x:dxf>
      <x:font>
        <x:b/>
        <x:color rgb="FF9B1C1C"/>
      </x:font>
      <x:fill>
        <x:patternFill>
          <x:bgColor rgb="FFFDE8E7"/>
        </x:patternFill>
      </x:fill>
    </x:dxf>
    <x:dxf>
      <x:font>
        <x:b/>
        <x:color rgb="FF102A36"/>
      </x:font>
      <x:fill>
        <x:patternFill>
          <x:bgColor rgb="FFFFF4D6"/>
        </x:patternFill>
      </x:fill>
    </x:dxf>
    <x:dxf>
      <x:font>
        <x:b/>
        <x:color rgb="FF17643A"/>
      </x:font>
      <x:fill>
        <x:patternFill>
          <x:bgColor rgb="FFE4F4EA"/>
        </x:patternFill>
      </x:fill>
    </x:dxf>
    <x:dxf>
      <x:font>
        <x:b/>
        <x:color rgb="FF9B1C1C"/>
      </x:font>
      <x:fill>
        <x:patternFill>
          <x:bgColor rgb="FFFDE8E7"/>
        </x:patternFill>
      </x:fill>
    </x:dxf>
    <x:dxf>
      <x:font>
        <x:b/>
        <x:color rgb="FF102A36"/>
      </x:font>
      <x:fill>
        <x:patternFill>
          <x:bgColor rgb="FFFFF4D6"/>
        </x:patternFill>
      </x:fill>
    </x:dxf>
    <x:dxf>
      <x:font>
        <x:b/>
        <x:color rgb="FF17643A"/>
      </x:font>
      <x:fill>
        <x:patternFill>
          <x:bgColor rgb="FFE4F4EA"/>
        </x:patternFill>
      </x:fill>
    </x:dxf>
    <x:dxf>
      <x:font>
        <x:b/>
        <x:color rgb="FF9B1C1C"/>
      </x:font>
      <x:fill>
        <x:patternFill>
          <x:bgColor rgb="FFFDE8E7"/>
        </x:patternFill>
      </x:fill>
    </x:dxf>
    <x:dxf>
      <x:font>
        <x:b/>
        <x:color rgb="FF102A36"/>
      </x:font>
      <x:fill>
        <x:patternFill>
          <x:bgColor rgb="FFFFF4D6"/>
        </x:patternFill>
      </x:fill>
    </x:dxf>
    <x:dxf>
      <x:font>
        <x:b/>
        <x:color rgb="FF17643A"/>
      </x:font>
      <x:fill>
        <x:patternFill>
          <x:bgColor rgb="FFE4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6e65ac02d4bd2" /><Relationship Type="http://schemas.openxmlformats.org/officeDocument/2006/relationships/theme" Target="/xl/theme/theme1.xml" Id="R47c88eedbc234c19" /><Relationship Type="http://schemas.openxmlformats.org/officeDocument/2006/relationships/sharedStrings" Target="/xl/sharedStrings.xml" Id="R3f75acfbd9934bbb" /><Relationship Type="http://schemas.openxmlformats.org/officeDocument/2006/relationships/worksheet" Target="/xl/worksheets/sheet1.xml" Id="R44a4ba06ce5e4e23" /><Relationship Type="http://schemas.openxmlformats.org/officeDocument/2006/relationships/worksheet" Target="/xl/worksheets/sheet2.xml" Id="R87ee162559a54679" /><Relationship Type="http://schemas.openxmlformats.org/officeDocument/2006/relationships/worksheet" Target="/xl/worksheets/sheet3.xml" Id="Rb78306523bbf4c29" /><Relationship Type="http://schemas.openxmlformats.org/officeDocument/2006/relationships/worksheet" Target="/xl/worksheets/sheet4.xml" Id="R2888d0ae356245c0" /><Relationship Type="http://schemas.openxmlformats.org/officeDocument/2006/relationships/worksheet" Target="/xl/worksheets/sheet5.xml" Id="R439f566a757746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16" hidden="0" customWidth="1"/>
    <x:col min="1" max="1" width="43" hidden="0" customWidth="1"/>
    <x:col min="3" max="3" width="14" hidden="0" customWidth="1"/>
    <x:col min="4" max="4" width="13" hidden="0" customWidth="1"/>
    <x:col min="5" max="5" width="3" hidden="0" customWidth="1"/>
    <x:col min="6" max="6" width="42" hidden="0" customWidth="1"/>
    <x:col min="7" max="7" width="20" hidden="0" customWidth="1"/>
    <x:col min="8" max="8" width="13" hidden="0" customWidth="1"/>
  </x:cols>
  <x:sheetData>
    <x:row r="1" ht="24" customHeight="1">
      <x:c r="A1" s="2" t="str">
        <x:v>SARAFI Calm Premium v4 release gate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 t="str">
        <x:v>Enter real UAT observations only. Blank human evidence keeps the decision at No ship.</x:v>
      </x:c>
      <x:c r="B2" s="3"/>
      <x:c r="C2" s="3"/>
      <x:c r="D2" s="3"/>
      <x:c r="E2" s="3"/>
      <x:c r="F2" s="3"/>
      <x:c r="G2" s="3"/>
      <x:c r="H2" s="3"/>
    </x:row>
    <x:row r="4">
      <x:c r="A4" s="4" t="str">
        <x:v>Candidate commit</x:v>
      </x:c>
      <x:c r="B4" t="str">
        <x:v>b325812e1b8238ba1fcdefd00e913f06f473b7b8</x:v>
      </x:c>
    </x:row>
    <x:row r="5">
      <x:c r="A5" s="4" t="str">
        <x:v>Test environment URL</x:v>
      </x:c>
      <x:c r="B5" s="6" t="str"/>
    </x:row>
    <x:row r="6">
      <x:c r="A6" s="4" t="str">
        <x:v>UAT facilitator</x:v>
      </x:c>
      <x:c r="B6" s="6" t="str"/>
    </x:row>
    <x:row r="7">
      <x:c r="A7" s="4" t="str">
        <x:v>UAT dates</x:v>
      </x:c>
      <x:c r="B7" s="6" t="str"/>
    </x:row>
    <x:row r="9" ht="32" customHeight="1">
      <x:c r="A9" s="18" t="str">
        <x:v>Human acceptance metric</x:v>
      </x:c>
      <x:c r="B9" s="19" t="str">
        <x:v>Threshold</x:v>
      </x:c>
      <x:c r="C9" s="19" t="str">
        <x:v>Observed</x:v>
      </x:c>
      <x:c r="D9" s="20" t="str">
        <x:v>Status</x:v>
      </x:c>
      <x:c r="E9" s="30"/>
      <x:c r="F9" s="18" t="str">
        <x:v>Release control</x:v>
      </x:c>
      <x:c r="G9" s="19" t="str">
        <x:v>Result</x:v>
      </x:c>
      <x:c r="H9" s="20" t="str">
        <x:v>Status</x:v>
      </x:c>
    </x:row>
    <x:row r="10">
      <x:c r="A10" s="31" t="str">
        <x:v>Unassisted success for five daily journeys</x:v>
      </x:c>
      <x:c r="B10" s="32" t="n">
        <x:v>0.9</x:v>
      </x:c>
      <x:c r="C10" s="32" t="str">
        <x:f>IF(COUNTIF('Task Sessions'!$G$5:$G$204,"Yes")=0,"",COUNTIFS('Task Sessions'!$G$5:$G$204,"Yes",'Task Sessions'!$H$5:$H$204,"Yes")/COUNTIF('Task Sessions'!$G$5:$G$204,"Yes"))</x:f>
      </x:c>
      <x:c r="D10" s="31" t="str">
        <x:f>IF(COUNTIF('Task Sessions'!$G$5:$G$204,"Yes")=0,"No data",IF(C10&gt;=B10,"Pass","Fail"))</x:f>
        <x:v>No data</x:v>
      </x:c>
      <x:c r="E10" s="30"/>
      <x:c r="F10" s="31" t="str">
        <x:v>Automated candidate gates passed</x:v>
      </x:c>
      <x:c r="G10" s="33" t="str">
        <x:v>Yes</x:v>
      </x:c>
      <x:c r="H10" s="31" t="str">
        <x:f>IF(G10="Yes","Pass","Fail")</x:f>
        <x:v>Pass</x:v>
      </x:c>
    </x:row>
    <x:row r="11">
      <x:c r="A11" s="31" t="str">
        <x:v>Median ordinary FX completion (seconds)</x:v>
      </x:c>
      <x:c r="B11" s="31" t="n">
        <x:v>25</x:v>
      </x:c>
      <x:c r="C11" s="31" t="str">
        <x:f>IF(COUNT('Task Sessions'!$T$5:$T$204)=0,"",MEDIAN('Task Sessions'!$T$5:$T$204))</x:f>
      </x:c>
      <x:c r="D11" s="31" t="str">
        <x:f>IF(COUNT('Task Sessions'!$T$5:$T$204)=0,"No data",IF(C11&lt;=B11,"Pass","Fail"))</x:f>
        <x:v>No data</x:v>
      </x:c>
      <x:c r="E11" s="30"/>
      <x:c r="F11" s="31" t="str">
        <x:v>Capability migration applied to preview</x:v>
      </x:c>
      <x:c r="G11" s="33" t="str">
        <x:v>No</x:v>
      </x:c>
      <x:c r="H11" s="31" t="str">
        <x:f>IF(G11="Yes","Pass","Fail")</x:f>
        <x:v>Fail</x:v>
      </x:c>
    </x:row>
    <x:row r="12">
      <x:c r="A12" s="31" t="str">
        <x:v>Participants who visited Rates first</x:v>
      </x:c>
      <x:c r="B12" s="31" t="n">
        <x:v>0</x:v>
      </x:c>
      <x:c r="C12" s="31" t="str">
        <x:f>IF(COUNTA('Task Sessions'!$A$5:$A$204)=0,"",COUNTIF('Task Sessions'!$K$5:$K$204,"Yes"))</x:f>
      </x:c>
      <x:c r="D12" s="31" t="str">
        <x:f>IF(COUNTA('Task Sessions'!$A$5:$A$204)=0,"No data",IF(C12=B12,"Pass","Fail"))</x:f>
        <x:v>No data</x:v>
      </x:c>
      <x:c r="E12" s="30"/>
      <x:c r="F12" s="31" t="str">
        <x:v>Business Administrator live suite passed</x:v>
      </x:c>
      <x:c r="G12" s="33" t="str">
        <x:v>No</x:v>
      </x:c>
      <x:c r="H12" s="31" t="str">
        <x:f>IF(G12="Yes","Pass","Fail")</x:f>
        <x:v>Fail</x:v>
      </x:c>
    </x:row>
    <x:row r="13">
      <x:c r="A13" s="31" t="str">
        <x:v>Questions about UUID, base amount, or journal account</x:v>
      </x:c>
      <x:c r="B13" s="31" t="n">
        <x:v>0</x:v>
      </x:c>
      <x:c r="C13" s="31" t="str">
        <x:f>IF(COUNTA('Task Sessions'!$A$5:$A$204)=0,"",COUNTIF('Task Sessions'!$L$5:$L$204,"Yes"))</x:f>
      </x:c>
      <x:c r="D13" s="31" t="str">
        <x:f>IF(COUNTA('Task Sessions'!$A$5:$A$204)=0,"No data",IF(C13=B13,"Pass","Fail"))</x:f>
        <x:v>No data</x:v>
      </x:c>
      <x:c r="E13" s="30"/>
      <x:c r="F13" s="31" t="str">
        <x:v>Dari final sign-off recorded</x:v>
      </x:c>
      <x:c r="G13" s="33" t="str">
        <x:v>No</x:v>
      </x:c>
      <x:c r="H13" s="31" t="str">
        <x:f>IF(G13="Yes","Pass","Fail")</x:f>
        <x:v>Fail</x:v>
      </x:c>
    </x:row>
    <x:row r="14">
      <x:c r="A14" s="31" t="str">
        <x:v>Primary Home action identified within five seconds</x:v>
      </x:c>
      <x:c r="B14" s="32" t="n">
        <x:v>0.9</x:v>
      </x:c>
      <x:c r="C14" s="32" t="str">
        <x:f>IF(COUNTIF('Task Sessions'!$J$5:$J$204,"Yes")+COUNTIF('Task Sessions'!$J$5:$J$204,"No")=0,"",COUNTIF('Task Sessions'!$J$5:$J$204,"Yes")/(COUNTIF('Task Sessions'!$J$5:$J$204,"Yes")+COUNTIF('Task Sessions'!$J$5:$J$204,"No")))</x:f>
      </x:c>
      <x:c r="D14" s="31" t="str">
        <x:f>IF(COUNTIF('Task Sessions'!$J$5:$J$204,"Yes")+COUNTIF('Task Sessions'!$J$5:$J$204,"No")=0,"No data",IF(C14&gt;=B14,"Pass","Fail"))</x:f>
        <x:v>No data</x:v>
      </x:c>
      <x:c r="E14" s="30"/>
      <x:c r="F14" s="31" t="str">
        <x:v>Pashto final sign-off recorded</x:v>
      </x:c>
      <x:c r="G14" s="33" t="str">
        <x:v>No</x:v>
      </x:c>
      <x:c r="H14" s="31" t="str">
        <x:f>IF(G14="Yes","Pass","Fail")</x:f>
        <x:v>Fail</x:v>
      </x:c>
    </x:row>
    <x:row r="15">
      <x:c r="A15" s="31" t="str">
        <x:v>Critical Buy/Sell misunderstandings</x:v>
      </x:c>
      <x:c r="B15" s="31" t="n">
        <x:v>0</x:v>
      </x:c>
      <x:c r="C15" s="31" t="str">
        <x:f>IF(COUNTA('Task Sessions'!$A$5:$A$204)=0,"",COUNTIF('Task Sessions'!$M$5:$M$204,"Critical"))</x:f>
      </x:c>
      <x:c r="D15" s="31" t="str">
        <x:f>IF(COUNTA('Task Sessions'!$A$5:$A$204)=0,"No data",IF(C15=B15,"Pass","Fail"))</x:f>
        <x:v>No data</x:v>
      </x:c>
      <x:c r="E15" s="30"/>
      <x:c r="F15" s="31" t="str">
        <x:v>Physical receipt check passed or out of scope</x:v>
      </x:c>
      <x:c r="G15" s="33" t="str">
        <x:v>No</x:v>
      </x:c>
      <x:c r="H15" s="31" t="str">
        <x:f>IF(G15="Yes","Pass","Fail")</x:f>
        <x:v>Fail</x:v>
      </x:c>
    </x:row>
    <x:row r="16">
      <x:c r="A16" s="31" t="str">
        <x:v>Forbidden operation visible or invokable</x:v>
      </x:c>
      <x:c r="B16" s="31" t="n">
        <x:v>0</x:v>
      </x:c>
      <x:c r="C16" s="31" t="str">
        <x:f>IF(COUNTA('Task Sessions'!$A$5:$A$204)=0,"",COUNTIF('Task Sessions'!$N$5:$N$204,"Yes"))</x:f>
      </x:c>
      <x:c r="D16" s="31" t="str">
        <x:f>IF(COUNTA('Task Sessions'!$A$5:$A$204)=0,"No data",IF(C16=B16,"Pass","Fail"))</x:f>
        <x:v>No data</x:v>
      </x:c>
      <x:c r="E16" s="30"/>
      <x:c r="F16" s="31" t="str">
        <x:v>Issue owner approved release evidence</x:v>
      </x:c>
      <x:c r="G16" s="33" t="str">
        <x:v>No</x:v>
      </x:c>
      <x:c r="H16" s="31" t="str">
        <x:f>IF(G16="Yes","Pass","Fail")</x:f>
        <x:v>Fail</x:v>
      </x:c>
    </x:row>
    <x:row r="17">
      <x:c r="A17" s="31" t="str">
        <x:v>Average ease for five daily journeys</x:v>
      </x:c>
      <x:c r="B17" s="34" t="n">
        <x:v>4.3</x:v>
      </x:c>
      <x:c r="C17" s="34" t="str">
        <x:f>IF(COUNTIFS('Task Sessions'!$G$5:$G$204,"Yes",'Task Sessions'!$O$5:$O$204,"&gt;=1")=0,"",AVERAGEIF('Task Sessions'!$G$5:$G$204,"Yes",'Task Sessions'!$O$5:$O$204))</x:f>
      </x:c>
      <x:c r="D17" s="31" t="str">
        <x:f>IF(COUNTIFS('Task Sessions'!$G$5:$G$204,"Yes",'Task Sessions'!$O$5:$O$204,"&gt;=1")=0,"No data",IF(C17&gt;=B17,"Pass","Fail"))</x:f>
        <x:v>No data</x:v>
      </x:c>
      <x:c r="E17" s="30"/>
      <x:c r="F17" s="30"/>
      <x:c r="G17" s="30"/>
      <x:c r="H17" s="30"/>
    </x:row>
    <x:row r="18">
      <x:c r="A18" s="30"/>
      <x:c r="B18" s="30"/>
      <x:c r="C18" s="30"/>
      <x:c r="D18" s="30"/>
      <x:c r="E18" s="30"/>
      <x:c r="F18" s="30"/>
      <x:c r="G18" s="30"/>
      <x:c r="H18" s="30"/>
    </x:row>
    <x:row r="19" ht="32" customHeight="1">
      <x:c r="A19" s="30"/>
      <x:c r="B19" s="30"/>
      <x:c r="C19" s="30"/>
      <x:c r="D19" s="30"/>
      <x:c r="E19" s="30"/>
      <x:c r="F19" s="18" t="str">
        <x:v>Language evidence</x:v>
      </x:c>
      <x:c r="G19" s="19" t="str">
        <x:v>Observed</x:v>
      </x:c>
      <x:c r="H19" s="20" t="str">
        <x:v>Status</x:v>
      </x:c>
    </x:row>
    <x:row r="20" ht="32" customHeight="1">
      <x:c r="A20" s="18" t="str">
        <x:v>Participant coverage</x:v>
      </x:c>
      <x:c r="B20" s="19" t="str">
        <x:v>Minimum</x:v>
      </x:c>
      <x:c r="C20" s="19" t="str">
        <x:v>Observed</x:v>
      </x:c>
      <x:c r="D20" s="20" t="str">
        <x:v>Status</x:v>
      </x:c>
      <x:c r="E20" s="30"/>
      <x:c r="F20" s="31" t="str">
        <x:v>Dari final sign-off</x:v>
      </x:c>
      <x:c r="G20" s="31" t="n">
        <x:f>COUNTIFS('Language Review'!$C$5:$C$104,"Dari",'Language Review'!$D$5:$D$104,"Final sign-off",'Language Review'!$L$5:$L$104,"Approved")</x:f>
        <x:v>0</x:v>
      </x:c>
      <x:c r="H20" s="31" t="str">
        <x:f>IF(G20&gt;=1,"Pass","Fail")</x:f>
        <x:v>Fail</x:v>
      </x:c>
    </x:row>
    <x:row r="21">
      <x:c r="A21" s="31" t="str">
        <x:v>Owners</x:v>
      </x:c>
      <x:c r="B21" s="31" t="n">
        <x:v>2</x:v>
      </x:c>
      <x:c r="C21" s="31" t="n">
        <x:f>COUNTIF(Participants!$B$5:$B$34,"Owner")</x:f>
        <x:v>0</x:v>
      </x:c>
      <x:c r="D21" s="31" t="str">
        <x:f>IF(C21&gt;=B21,"Pass","Fail")</x:f>
        <x:v>Fail</x:v>
      </x:c>
      <x:c r="E21" s="30"/>
      <x:c r="F21" s="31" t="str">
        <x:v>Pashto final sign-off</x:v>
      </x:c>
      <x:c r="G21" s="31" t="n">
        <x:f>COUNTIFS('Language Review'!$C$5:$C$104,"Pashto",'Language Review'!$D$5:$D$104,"Final sign-off",'Language Review'!$L$5:$L$104,"Approved")</x:f>
        <x:v>0</x:v>
      </x:c>
      <x:c r="H21" s="31" t="str">
        <x:f>IF(G21&gt;=1,"Pass","Fail")</x:f>
        <x:v>Fail</x:v>
      </x:c>
    </x:row>
    <x:row r="22">
      <x:c r="A22" s="31" t="str">
        <x:v>Business Administrators</x:v>
      </x:c>
      <x:c r="B22" s="31" t="n">
        <x:v>1</x:v>
      </x:c>
      <x:c r="C22" s="31" t="n">
        <x:f>COUNTIF(Participants!$B$5:$B$34,"Business Administrator")</x:f>
        <x:v>0</x:v>
      </x:c>
      <x:c r="D22" s="31" t="str">
        <x:f>IF(C22&gt;=B22,"Pass","Fail")</x:f>
        <x:v>Fail</x:v>
      </x:c>
      <x:c r="E22" s="30"/>
      <x:c r="F22" s="30"/>
      <x:c r="G22" s="30"/>
      <x:c r="H22" s="30"/>
    </x:row>
    <x:row r="23">
      <x:c r="A23" s="31" t="str">
        <x:v>Managers</x:v>
      </x:c>
      <x:c r="B23" s="31" t="n">
        <x:v>1</x:v>
      </x:c>
      <x:c r="C23" s="31" t="n">
        <x:f>COUNTIF(Participants!$B$5:$B$34,"Manager")</x:f>
        <x:v>0</x:v>
      </x:c>
      <x:c r="D23" s="31" t="str">
        <x:f>IF(C23&gt;=B23,"Pass","Fail")</x:f>
        <x:v>Fail</x:v>
      </x:c>
      <x:c r="E23" s="30"/>
      <x:c r="F23" s="30"/>
      <x:c r="G23" s="30"/>
      <x:c r="H23" s="30"/>
    </x:row>
    <x:row r="24" ht="32" customHeight="1">
      <x:c r="A24" s="31" t="str">
        <x:v>Cashiers</x:v>
      </x:c>
      <x:c r="B24" s="31" t="n">
        <x:v>2</x:v>
      </x:c>
      <x:c r="C24" s="31" t="n">
        <x:f>COUNTIF(Participants!$B$5:$B$34,"Cashier")</x:f>
        <x:v>0</x:v>
      </x:c>
      <x:c r="D24" s="31" t="str">
        <x:f>IF(C24&gt;=B24,"Pass","Fail")</x:f>
        <x:v>Fail</x:v>
      </x:c>
      <x:c r="E24" s="30"/>
      <x:c r="F24" s="18" t="str">
        <x:v>Release decision</x:v>
      </x:c>
      <x:c r="G24" s="19" t="str"/>
      <x:c r="H24" s="20" t="str"/>
    </x:row>
    <x:row r="25">
      <x:c r="A25" s="31" t="str">
        <x:v>Accountants</x:v>
      </x:c>
      <x:c r="B25" s="31" t="n">
        <x:v>1</x:v>
      </x:c>
      <x:c r="C25" s="31" t="n">
        <x:f>COUNTIF(Participants!$B$5:$B$34,"Accountant")</x:f>
        <x:v>0</x:v>
      </x:c>
      <x:c r="D25" s="31" t="str">
        <x:f>IF(C25&gt;=B25,"Pass","Fail")</x:f>
        <x:v>Fail</x:v>
      </x:c>
      <x:c r="E25" s="30"/>
      <x:c r="F25" s="35" t="str">
        <x:v>Decision</x:v>
      </x:c>
      <x:c r="G25" s="36" t="str">
        <x:f>IF(COUNTIF(D10:D17,"&lt;&gt;Pass")+COUNTIF(D21:D30,"&lt;&gt;Pass")+COUNTIF(H10:H16,"&lt;&gt;Pass")+COUNTIF(H20:H21,"&lt;&gt;Pass")=0,"Ship gate passed","No ship")</x:f>
        <x:v>No ship</x:v>
      </x:c>
      <x:c r="H25" s="37"/>
    </x:row>
    <x:row r="26">
      <x:c r="A26" s="31" t="str">
        <x:v>Compliance Officers</x:v>
      </x:c>
      <x:c r="B26" s="31" t="n">
        <x:v>1</x:v>
      </x:c>
      <x:c r="C26" s="31" t="n">
        <x:f>COUNTIF(Participants!$B$5:$B$34,"Compliance Officer")</x:f>
        <x:v>0</x:v>
      </x:c>
      <x:c r="D26" s="31" t="str">
        <x:f>IF(C26&gt;=B26,"Pass","Fail")</x:f>
        <x:v>Fail</x:v>
      </x:c>
      <x:c r="E26" s="30"/>
      <x:c r="F26" s="35" t="str">
        <x:v>Open gates</x:v>
      </x:c>
      <x:c r="G26" s="35" t="n">
        <x:f>COUNTIF(D10:D17,"&lt;&gt;Pass")+COUNTIF(D21:D30,"&lt;&gt;Pass")+COUNTIF(H10:H16,"&lt;&gt;Pass")+COUNTIF(H20:H21,"&lt;&gt;Pass")</x:f>
        <x:v>26</x:v>
      </x:c>
      <x:c r="H26" s="37"/>
    </x:row>
    <x:row r="27">
      <x:c r="A27" s="31" t="str">
        <x:v>Viewers</x:v>
      </x:c>
      <x:c r="B27" s="31" t="n">
        <x:v>1</x:v>
      </x:c>
      <x:c r="C27" s="31" t="n">
        <x:f>COUNTIF(Participants!$B$5:$B$34,"Viewer")</x:f>
        <x:v>0</x:v>
      </x:c>
      <x:c r="D27" s="31" t="str">
        <x:f>IF(C27&gt;=B27,"Pass","Fail")</x:f>
        <x:v>Fail</x:v>
      </x:c>
      <x:c r="E27" s="30"/>
      <x:c r="F27" s="30"/>
      <x:c r="G27" s="30"/>
      <x:c r="H27" s="30"/>
    </x:row>
    <x:row r="28">
      <x:c r="A28" s="31" t="str">
        <x:v>First-time non-accountant users</x:v>
      </x:c>
      <x:c r="B28" s="31" t="n">
        <x:v>2</x:v>
      </x:c>
      <x:c r="C28" s="31" t="n">
        <x:f>COUNTIF(Participants!$E$5:$E$34,"Yes")</x:f>
        <x:v>0</x:v>
      </x:c>
      <x:c r="D28" s="31" t="str">
        <x:f>IF(C28&gt;=B28,"Pass","Fail")</x:f>
        <x:v>Fail</x:v>
      </x:c>
      <x:c r="E28" s="30"/>
      <x:c r="F28" s="30"/>
      <x:c r="G28" s="30"/>
      <x:c r="H28" s="30"/>
    </x:row>
    <x:row r="29">
      <x:c r="A29" s="31" t="str">
        <x:v>Dari native reviewers</x:v>
      </x:c>
      <x:c r="B29" s="31" t="n">
        <x:v>1</x:v>
      </x:c>
      <x:c r="C29" s="31" t="n">
        <x:f>COUNTIF(Participants!$F$5:$F$34,"Dari")</x:f>
        <x:v>0</x:v>
      </x:c>
      <x:c r="D29" s="31" t="str">
        <x:f>IF(C29&gt;=B29,"Pass","Fail")</x:f>
        <x:v>Fail</x:v>
      </x:c>
      <x:c r="E29" s="30"/>
      <x:c r="F29" s="30"/>
      <x:c r="G29" s="30"/>
      <x:c r="H29" s="30"/>
    </x:row>
    <x:row r="30">
      <x:c r="A30" s="31" t="str">
        <x:v>Pashto native reviewers</x:v>
      </x:c>
      <x:c r="B30" s="31" t="n">
        <x:v>1</x:v>
      </x:c>
      <x:c r="C30" s="31" t="n">
        <x:f>COUNTIF(Participants!$F$5:$F$34,"Pashto")</x:f>
        <x:v>0</x:v>
      </x:c>
      <x:c r="D30" s="31" t="str">
        <x:f>IF(C30&gt;=B30,"Pass","Fail")</x:f>
        <x:v>Fail</x:v>
      </x:c>
      <x:c r="E30" s="30"/>
      <x:c r="F30" s="30"/>
      <x:c r="G30" s="30"/>
      <x:c r="H30" s="30"/>
    </x:row>
  </x:sheetData>
  <x:conditionalFormatting sqref="D10:D1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 data"/>
  </x:conditionalFormatting>
  <x:conditionalFormatting sqref="D21:D30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No data"/>
  </x:conditionalFormatting>
  <x:conditionalFormatting sqref="H10:H16">
    <x:cfRule type="containsText" dxfId="6" priority="7" operator="containsText" text="Pass"/>
    <x:cfRule type="containsText" dxfId="7" priority="8" operator="containsText" text="Fail"/>
    <x:cfRule type="containsText" dxfId="8" priority="9" operator="containsText" text="No data"/>
  </x:conditionalFormatting>
  <x:conditionalFormatting sqref="H20:H21">
    <x:cfRule type="containsText" dxfId="9" priority="10" operator="containsText" text="Pass"/>
    <x:cfRule type="containsText" dxfId="10" priority="11" operator="containsText" text="Fail"/>
    <x:cfRule type="containsText" dxfId="11" priority="12" operator="containsText" text="No data"/>
  </x:conditionalFormatting>
  <x:conditionalFormatting sqref="G25:G25">
    <x:cfRule type="containsText" dxfId="12" priority="13" operator="containsText" text="Ship gate passed"/>
  </x:conditionalFormatting>
  <x:dataValidations count="1">
    <x:dataValidation type="list" sqref="G10:G16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12" hidden="0" customWidth="1"/>
    <x:col min="5" max="5" width="13" hidden="0" customWidth="1"/>
    <x:col min="6" max="6" width="27" hidden="0" customWidth="1"/>
    <x:col min="7" max="7" width="13" hidden="0" customWidth="1"/>
    <x:col min="8" max="8" width="16" hidden="0" customWidth="1"/>
    <x:col min="9" max="9" width="15" hidden="0" customWidth="1"/>
    <x:col min="10" max="10" width="18" hidden="0" customWidth="1"/>
    <x:col min="11" max="11" width="14" hidden="0" customWidth="1"/>
    <x:col min="12" max="12" width="18" hidden="0" customWidth="1"/>
    <x:col min="13" max="13" width="22" hidden="0" customWidth="1"/>
    <x:col min="14" max="14" width="18" hidden="0" customWidth="1"/>
    <x:col min="15" max="15" width="11" hidden="0" customWidth="1"/>
    <x:col min="16" max="16" width="9" hidden="0" customWidth="1"/>
    <x:col min="17" max="17" width="32" hidden="0" customWidth="1"/>
    <x:col min="18" max="18" width="32" hidden="0" customWidth="1"/>
    <x:col min="19" max="19" width="13" hidden="0" customWidth="1"/>
    <x:col min="20" max="20" width="12" hidden="0" customWidth="1"/>
    <x:col min="21" max="21" width="28" hidden="0" customWidth="1"/>
  </x:cols>
  <x:sheetData>
    <x:row r="1" ht="24" customHeight="1">
      <x:c r="A1" s="2" t="str">
        <x:v>Task sessions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4" customHeight="1">
      <x:c r="A2" s="3" t="str">
        <x:v>One row per participant task. Do not coach unless the row is marked unsuccessful.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4" ht="32" customHeight="1">
      <x:c r="A4" s="18" t="str">
        <x:v>Session ID</x:v>
      </x:c>
      <x:c r="B4" s="19" t="str">
        <x:v>Participant ID</x:v>
      </x:c>
      <x:c r="C4" s="19" t="str">
        <x:v>Role</x:v>
      </x:c>
      <x:c r="D4" s="19" t="str">
        <x:v>Language</x:v>
      </x:c>
      <x:c r="E4" s="19" t="str">
        <x:v>Device</x:v>
      </x:c>
      <x:c r="F4" s="19" t="str">
        <x:v>Task</x:v>
      </x:c>
      <x:c r="G4" s="19" t="str">
        <x:v>Daily journey</x:v>
      </x:c>
      <x:c r="H4" s="19" t="str">
        <x:v>Unassisted success</x:v>
      </x:c>
      <x:c r="I4" s="19" t="str">
        <x:v>Completion seconds</x:v>
      </x:c>
      <x:c r="J4" s="19" t="str">
        <x:v>Home action within 5s</x:v>
      </x:c>
      <x:c r="K4" s="19" t="str">
        <x:v>Visited Rates</x:v>
      </x:c>
      <x:c r="L4" s="19" t="str">
        <x:v>Asked technical term</x:v>
      </x:c>
      <x:c r="M4" s="19" t="str">
        <x:v>Buy/Sell misunderstanding</x:v>
      </x:c>
      <x:c r="N4" s="19" t="str">
        <x:v>Forbidden action visible</x:v>
      </x:c>
      <x:c r="O4" s="19" t="str">
        <x:v>Ease 1-5</x:v>
      </x:c>
      <x:c r="P4" s="19" t="str">
        <x:v>Errors</x:v>
      </x:c>
      <x:c r="Q4" s="19" t="str">
        <x:v>Confusion note</x:v>
      </x:c>
      <x:c r="R4" s="19" t="str">
        <x:v>Facilitator note</x:v>
      </x:c>
      <x:c r="S4" s="19" t="str">
        <x:v>Date</x:v>
      </x:c>
      <x:c r="T4" s="19" t="str">
        <x:v>FX seconds</x:v>
      </x:c>
      <x:c r="U4" s="20" t="str">
        <x:v>Evidence link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39"/>
      <x:c r="J5" s="6"/>
      <x:c r="K5" s="6"/>
      <x:c r="L5" s="6"/>
      <x:c r="M5" s="6"/>
      <x:c r="N5" s="6"/>
      <x:c r="O5" s="40"/>
      <x:c r="P5" s="6"/>
      <x:c r="Q5" s="33"/>
      <x:c r="R5" s="33"/>
      <x:c r="S5" s="44"/>
      <x:c r="T5" s="45" t="str">
        <x:f>IF(OR(F5="Buy currency",F5="Sell currency"),I5,"")</x:f>
      </x:c>
      <x:c r="U5" s="33"/>
    </x:row>
    <x:row r="6">
      <x:c r="A6" s="6"/>
      <x:c r="B6" s="6"/>
      <x:c r="C6" s="6"/>
      <x:c r="D6" s="6"/>
      <x:c r="E6" s="6"/>
      <x:c r="F6" s="6"/>
      <x:c r="G6" s="6"/>
      <x:c r="H6" s="6"/>
      <x:c r="I6" s="39"/>
      <x:c r="J6" s="6"/>
      <x:c r="K6" s="6"/>
      <x:c r="L6" s="6"/>
      <x:c r="M6" s="6"/>
      <x:c r="N6" s="6"/>
      <x:c r="O6" s="40"/>
      <x:c r="P6" s="6"/>
      <x:c r="Q6" s="33"/>
      <x:c r="R6" s="33"/>
      <x:c r="S6" s="44"/>
      <x:c r="T6" s="45" t="str">
        <x:f>IF(OR(F6="Buy currency",F6="Sell currency"),I6,"")</x:f>
      </x:c>
      <x:c r="U6" s="33"/>
    </x:row>
    <x:row r="7">
      <x:c r="A7" s="6"/>
      <x:c r="B7" s="6"/>
      <x:c r="C7" s="6"/>
      <x:c r="D7" s="6"/>
      <x:c r="E7" s="6"/>
      <x:c r="F7" s="6"/>
      <x:c r="G7" s="6"/>
      <x:c r="H7" s="6"/>
      <x:c r="I7" s="39"/>
      <x:c r="J7" s="6"/>
      <x:c r="K7" s="6"/>
      <x:c r="L7" s="6"/>
      <x:c r="M7" s="6"/>
      <x:c r="N7" s="6"/>
      <x:c r="O7" s="40"/>
      <x:c r="P7" s="6"/>
      <x:c r="Q7" s="33"/>
      <x:c r="R7" s="33"/>
      <x:c r="S7" s="44"/>
      <x:c r="T7" s="45" t="str">
        <x:f>IF(OR(F7="Buy currency",F7="Sell currency"),I7,"")</x:f>
      </x:c>
      <x:c r="U7" s="33"/>
    </x:row>
    <x:row r="8">
      <x:c r="A8" s="6"/>
      <x:c r="B8" s="6"/>
      <x:c r="C8" s="6"/>
      <x:c r="D8" s="6"/>
      <x:c r="E8" s="6"/>
      <x:c r="F8" s="6"/>
      <x:c r="G8" s="6"/>
      <x:c r="H8" s="6"/>
      <x:c r="I8" s="39"/>
      <x:c r="J8" s="6"/>
      <x:c r="K8" s="6"/>
      <x:c r="L8" s="6"/>
      <x:c r="M8" s="6"/>
      <x:c r="N8" s="6"/>
      <x:c r="O8" s="40"/>
      <x:c r="P8" s="6"/>
      <x:c r="Q8" s="33"/>
      <x:c r="R8" s="33"/>
      <x:c r="S8" s="44"/>
      <x:c r="T8" s="45" t="str">
        <x:f>IF(OR(F8="Buy currency",F8="Sell currency"),I8,"")</x:f>
      </x:c>
      <x:c r="U8" s="33"/>
    </x:row>
    <x:row r="9">
      <x:c r="A9" s="6"/>
      <x:c r="B9" s="6"/>
      <x:c r="C9" s="6"/>
      <x:c r="D9" s="6"/>
      <x:c r="E9" s="6"/>
      <x:c r="F9" s="6"/>
      <x:c r="G9" s="6"/>
      <x:c r="H9" s="6"/>
      <x:c r="I9" s="39"/>
      <x:c r="J9" s="6"/>
      <x:c r="K9" s="6"/>
      <x:c r="L9" s="6"/>
      <x:c r="M9" s="6"/>
      <x:c r="N9" s="6"/>
      <x:c r="O9" s="40"/>
      <x:c r="P9" s="6"/>
      <x:c r="Q9" s="33"/>
      <x:c r="R9" s="33"/>
      <x:c r="S9" s="44"/>
      <x:c r="T9" s="45" t="str">
        <x:f>IF(OR(F9="Buy currency",F9="Sell currency"),I9,"")</x:f>
      </x:c>
      <x:c r="U9" s="33"/>
    </x:row>
    <x:row r="10">
      <x:c r="A10" s="6"/>
      <x:c r="B10" s="6"/>
      <x:c r="C10" s="6"/>
      <x:c r="D10" s="6"/>
      <x:c r="E10" s="6"/>
      <x:c r="F10" s="6"/>
      <x:c r="G10" s="6"/>
      <x:c r="H10" s="6"/>
      <x:c r="I10" s="39"/>
      <x:c r="J10" s="6"/>
      <x:c r="K10" s="6"/>
      <x:c r="L10" s="6"/>
      <x:c r="M10" s="6"/>
      <x:c r="N10" s="6"/>
      <x:c r="O10" s="40"/>
      <x:c r="P10" s="6"/>
      <x:c r="Q10" s="33"/>
      <x:c r="R10" s="33"/>
      <x:c r="S10" s="44"/>
      <x:c r="T10" s="45" t="str">
        <x:f>IF(OR(F10="Buy currency",F10="Sell currency"),I10,"")</x:f>
      </x:c>
      <x:c r="U10" s="33"/>
    </x:row>
    <x:row r="11">
      <x:c r="A11" s="6"/>
      <x:c r="B11" s="6"/>
      <x:c r="C11" s="6"/>
      <x:c r="D11" s="6"/>
      <x:c r="E11" s="6"/>
      <x:c r="F11" s="6"/>
      <x:c r="G11" s="6"/>
      <x:c r="H11" s="6"/>
      <x:c r="I11" s="39"/>
      <x:c r="J11" s="6"/>
      <x:c r="K11" s="6"/>
      <x:c r="L11" s="6"/>
      <x:c r="M11" s="6"/>
      <x:c r="N11" s="6"/>
      <x:c r="O11" s="40"/>
      <x:c r="P11" s="6"/>
      <x:c r="Q11" s="33"/>
      <x:c r="R11" s="33"/>
      <x:c r="S11" s="44"/>
      <x:c r="T11" s="45" t="str">
        <x:f>IF(OR(F11="Buy currency",F11="Sell currency"),I11,"")</x:f>
      </x:c>
      <x:c r="U11" s="33"/>
    </x:row>
    <x:row r="12">
      <x:c r="A12" s="6"/>
      <x:c r="B12" s="6"/>
      <x:c r="C12" s="6"/>
      <x:c r="D12" s="6"/>
      <x:c r="E12" s="6"/>
      <x:c r="F12" s="6"/>
      <x:c r="G12" s="6"/>
      <x:c r="H12" s="6"/>
      <x:c r="I12" s="39"/>
      <x:c r="J12" s="6"/>
      <x:c r="K12" s="6"/>
      <x:c r="L12" s="6"/>
      <x:c r="M12" s="6"/>
      <x:c r="N12" s="6"/>
      <x:c r="O12" s="40"/>
      <x:c r="P12" s="6"/>
      <x:c r="Q12" s="33"/>
      <x:c r="R12" s="33"/>
      <x:c r="S12" s="44"/>
      <x:c r="T12" s="45" t="str">
        <x:f>IF(OR(F12="Buy currency",F12="Sell currency"),I12,"")</x:f>
      </x:c>
      <x:c r="U12" s="33"/>
    </x:row>
    <x:row r="13">
      <x:c r="A13" s="6"/>
      <x:c r="B13" s="6"/>
      <x:c r="C13" s="6"/>
      <x:c r="D13" s="6"/>
      <x:c r="E13" s="6"/>
      <x:c r="F13" s="6"/>
      <x:c r="G13" s="6"/>
      <x:c r="H13" s="6"/>
      <x:c r="I13" s="39"/>
      <x:c r="J13" s="6"/>
      <x:c r="K13" s="6"/>
      <x:c r="L13" s="6"/>
      <x:c r="M13" s="6"/>
      <x:c r="N13" s="6"/>
      <x:c r="O13" s="40"/>
      <x:c r="P13" s="6"/>
      <x:c r="Q13" s="33"/>
      <x:c r="R13" s="33"/>
      <x:c r="S13" s="44"/>
      <x:c r="T13" s="45" t="str">
        <x:f>IF(OR(F13="Buy currency",F13="Sell currency"),I13,"")</x:f>
      </x:c>
      <x:c r="U13" s="33"/>
    </x:row>
    <x:row r="14">
      <x:c r="A14" s="6"/>
      <x:c r="B14" s="6"/>
      <x:c r="C14" s="6"/>
      <x:c r="D14" s="6"/>
      <x:c r="E14" s="6"/>
      <x:c r="F14" s="6"/>
      <x:c r="G14" s="6"/>
      <x:c r="H14" s="6"/>
      <x:c r="I14" s="39"/>
      <x:c r="J14" s="6"/>
      <x:c r="K14" s="6"/>
      <x:c r="L14" s="6"/>
      <x:c r="M14" s="6"/>
      <x:c r="N14" s="6"/>
      <x:c r="O14" s="40"/>
      <x:c r="P14" s="6"/>
      <x:c r="Q14" s="33"/>
      <x:c r="R14" s="33"/>
      <x:c r="S14" s="44"/>
      <x:c r="T14" s="45" t="str">
        <x:f>IF(OR(F14="Buy currency",F14="Sell currency"),I14,"")</x:f>
      </x:c>
      <x:c r="U14" s="33"/>
    </x:row>
    <x:row r="15">
      <x:c r="A15" s="6"/>
      <x:c r="B15" s="6"/>
      <x:c r="C15" s="6"/>
      <x:c r="D15" s="6"/>
      <x:c r="E15" s="6"/>
      <x:c r="F15" s="6"/>
      <x:c r="G15" s="6"/>
      <x:c r="H15" s="6"/>
      <x:c r="I15" s="39"/>
      <x:c r="J15" s="6"/>
      <x:c r="K15" s="6"/>
      <x:c r="L15" s="6"/>
      <x:c r="M15" s="6"/>
      <x:c r="N15" s="6"/>
      <x:c r="O15" s="40"/>
      <x:c r="P15" s="6"/>
      <x:c r="Q15" s="33"/>
      <x:c r="R15" s="33"/>
      <x:c r="S15" s="44"/>
      <x:c r="T15" s="45" t="str">
        <x:f>IF(OR(F15="Buy currency",F15="Sell currency"),I15,"")</x:f>
      </x:c>
      <x:c r="U15" s="33"/>
    </x:row>
    <x:row r="16">
      <x:c r="A16" s="6"/>
      <x:c r="B16" s="6"/>
      <x:c r="C16" s="6"/>
      <x:c r="D16" s="6"/>
      <x:c r="E16" s="6"/>
      <x:c r="F16" s="6"/>
      <x:c r="G16" s="6"/>
      <x:c r="H16" s="6"/>
      <x:c r="I16" s="39"/>
      <x:c r="J16" s="6"/>
      <x:c r="K16" s="6"/>
      <x:c r="L16" s="6"/>
      <x:c r="M16" s="6"/>
      <x:c r="N16" s="6"/>
      <x:c r="O16" s="40"/>
      <x:c r="P16" s="6"/>
      <x:c r="Q16" s="33"/>
      <x:c r="R16" s="33"/>
      <x:c r="S16" s="44"/>
      <x:c r="T16" s="45" t="str">
        <x:f>IF(OR(F16="Buy currency",F16="Sell currency"),I16,"")</x:f>
      </x:c>
      <x:c r="U16" s="33"/>
    </x:row>
    <x:row r="17">
      <x:c r="A17" s="6"/>
      <x:c r="B17" s="6"/>
      <x:c r="C17" s="6"/>
      <x:c r="D17" s="6"/>
      <x:c r="E17" s="6"/>
      <x:c r="F17" s="6"/>
      <x:c r="G17" s="6"/>
      <x:c r="H17" s="6"/>
      <x:c r="I17" s="39"/>
      <x:c r="J17" s="6"/>
      <x:c r="K17" s="6"/>
      <x:c r="L17" s="6"/>
      <x:c r="M17" s="6"/>
      <x:c r="N17" s="6"/>
      <x:c r="O17" s="40"/>
      <x:c r="P17" s="6"/>
      <x:c r="Q17" s="33"/>
      <x:c r="R17" s="33"/>
      <x:c r="S17" s="44"/>
      <x:c r="T17" s="45" t="str">
        <x:f>IF(OR(F17="Buy currency",F17="Sell currency"),I17,"")</x:f>
      </x:c>
      <x:c r="U17" s="33"/>
    </x:row>
    <x:row r="18">
      <x:c r="A18" s="6"/>
      <x:c r="B18" s="6"/>
      <x:c r="C18" s="6"/>
      <x:c r="D18" s="6"/>
      <x:c r="E18" s="6"/>
      <x:c r="F18" s="6"/>
      <x:c r="G18" s="6"/>
      <x:c r="H18" s="6"/>
      <x:c r="I18" s="39"/>
      <x:c r="J18" s="6"/>
      <x:c r="K18" s="6"/>
      <x:c r="L18" s="6"/>
      <x:c r="M18" s="6"/>
      <x:c r="N18" s="6"/>
      <x:c r="O18" s="40"/>
      <x:c r="P18" s="6"/>
      <x:c r="Q18" s="33"/>
      <x:c r="R18" s="33"/>
      <x:c r="S18" s="44"/>
      <x:c r="T18" s="45" t="str">
        <x:f>IF(OR(F18="Buy currency",F18="Sell currency"),I18,"")</x:f>
      </x:c>
      <x:c r="U18" s="33"/>
    </x:row>
    <x:row r="19">
      <x:c r="A19" s="6"/>
      <x:c r="B19" s="6"/>
      <x:c r="C19" s="6"/>
      <x:c r="D19" s="6"/>
      <x:c r="E19" s="6"/>
      <x:c r="F19" s="6"/>
      <x:c r="G19" s="6"/>
      <x:c r="H19" s="6"/>
      <x:c r="I19" s="39"/>
      <x:c r="J19" s="6"/>
      <x:c r="K19" s="6"/>
      <x:c r="L19" s="6"/>
      <x:c r="M19" s="6"/>
      <x:c r="N19" s="6"/>
      <x:c r="O19" s="40"/>
      <x:c r="P19" s="6"/>
      <x:c r="Q19" s="33"/>
      <x:c r="R19" s="33"/>
      <x:c r="S19" s="44"/>
      <x:c r="T19" s="45" t="str">
        <x:f>IF(OR(F19="Buy currency",F19="Sell currency"),I19,"")</x:f>
      </x:c>
      <x:c r="U19" s="33"/>
    </x:row>
    <x:row r="20">
      <x:c r="A20" s="6"/>
      <x:c r="B20" s="6"/>
      <x:c r="C20" s="6"/>
      <x:c r="D20" s="6"/>
      <x:c r="E20" s="6"/>
      <x:c r="F20" s="6"/>
      <x:c r="G20" s="6"/>
      <x:c r="H20" s="6"/>
      <x:c r="I20" s="39"/>
      <x:c r="J20" s="6"/>
      <x:c r="K20" s="6"/>
      <x:c r="L20" s="6"/>
      <x:c r="M20" s="6"/>
      <x:c r="N20" s="6"/>
      <x:c r="O20" s="40"/>
      <x:c r="P20" s="6"/>
      <x:c r="Q20" s="33"/>
      <x:c r="R20" s="33"/>
      <x:c r="S20" s="44"/>
      <x:c r="T20" s="45" t="str">
        <x:f>IF(OR(F20="Buy currency",F20="Sell currency"),I20,"")</x:f>
      </x:c>
      <x:c r="U20" s="33"/>
    </x:row>
    <x:row r="21">
      <x:c r="A21" s="6"/>
      <x:c r="B21" s="6"/>
      <x:c r="C21" s="6"/>
      <x:c r="D21" s="6"/>
      <x:c r="E21" s="6"/>
      <x:c r="F21" s="6"/>
      <x:c r="G21" s="6"/>
      <x:c r="H21" s="6"/>
      <x:c r="I21" s="39"/>
      <x:c r="J21" s="6"/>
      <x:c r="K21" s="6"/>
      <x:c r="L21" s="6"/>
      <x:c r="M21" s="6"/>
      <x:c r="N21" s="6"/>
      <x:c r="O21" s="40"/>
      <x:c r="P21" s="6"/>
      <x:c r="Q21" s="33"/>
      <x:c r="R21" s="33"/>
      <x:c r="S21" s="44"/>
      <x:c r="T21" s="45" t="str">
        <x:f>IF(OR(F21="Buy currency",F21="Sell currency"),I21,"")</x:f>
      </x:c>
      <x:c r="U21" s="33"/>
    </x:row>
    <x:row r="22">
      <x:c r="A22" s="6"/>
      <x:c r="B22" s="6"/>
      <x:c r="C22" s="6"/>
      <x:c r="D22" s="6"/>
      <x:c r="E22" s="6"/>
      <x:c r="F22" s="6"/>
      <x:c r="G22" s="6"/>
      <x:c r="H22" s="6"/>
      <x:c r="I22" s="39"/>
      <x:c r="J22" s="6"/>
      <x:c r="K22" s="6"/>
      <x:c r="L22" s="6"/>
      <x:c r="M22" s="6"/>
      <x:c r="N22" s="6"/>
      <x:c r="O22" s="40"/>
      <x:c r="P22" s="6"/>
      <x:c r="Q22" s="33"/>
      <x:c r="R22" s="33"/>
      <x:c r="S22" s="44"/>
      <x:c r="T22" s="45" t="str">
        <x:f>IF(OR(F22="Buy currency",F22="Sell currency"),I22,"")</x:f>
      </x:c>
      <x:c r="U22" s="33"/>
    </x:row>
    <x:row r="23">
      <x:c r="A23" s="6"/>
      <x:c r="B23" s="6"/>
      <x:c r="C23" s="6"/>
      <x:c r="D23" s="6"/>
      <x:c r="E23" s="6"/>
      <x:c r="F23" s="6"/>
      <x:c r="G23" s="6"/>
      <x:c r="H23" s="6"/>
      <x:c r="I23" s="39"/>
      <x:c r="J23" s="6"/>
      <x:c r="K23" s="6"/>
      <x:c r="L23" s="6"/>
      <x:c r="M23" s="6"/>
      <x:c r="N23" s="6"/>
      <x:c r="O23" s="40"/>
      <x:c r="P23" s="6"/>
      <x:c r="Q23" s="33"/>
      <x:c r="R23" s="33"/>
      <x:c r="S23" s="44"/>
      <x:c r="T23" s="45" t="str">
        <x:f>IF(OR(F23="Buy currency",F23="Sell currency"),I23,"")</x:f>
      </x:c>
      <x:c r="U23" s="33"/>
    </x:row>
    <x:row r="24">
      <x:c r="A24" s="6"/>
      <x:c r="B24" s="6"/>
      <x:c r="C24" s="6"/>
      <x:c r="D24" s="6"/>
      <x:c r="E24" s="6"/>
      <x:c r="F24" s="6"/>
      <x:c r="G24" s="6"/>
      <x:c r="H24" s="6"/>
      <x:c r="I24" s="39"/>
      <x:c r="J24" s="6"/>
      <x:c r="K24" s="6"/>
      <x:c r="L24" s="6"/>
      <x:c r="M24" s="6"/>
      <x:c r="N24" s="6"/>
      <x:c r="O24" s="40"/>
      <x:c r="P24" s="6"/>
      <x:c r="Q24" s="33"/>
      <x:c r="R24" s="33"/>
      <x:c r="S24" s="44"/>
      <x:c r="T24" s="45" t="str">
        <x:f>IF(OR(F24="Buy currency",F24="Sell currency"),I24,"")</x:f>
      </x:c>
      <x:c r="U24" s="33"/>
    </x:row>
    <x:row r="25">
      <x:c r="A25" s="6"/>
      <x:c r="B25" s="6"/>
      <x:c r="C25" s="6"/>
      <x:c r="D25" s="6"/>
      <x:c r="E25" s="6"/>
      <x:c r="F25" s="6"/>
      <x:c r="G25" s="6"/>
      <x:c r="H25" s="6"/>
      <x:c r="I25" s="39"/>
      <x:c r="J25" s="6"/>
      <x:c r="K25" s="6"/>
      <x:c r="L25" s="6"/>
      <x:c r="M25" s="6"/>
      <x:c r="N25" s="6"/>
      <x:c r="O25" s="40"/>
      <x:c r="P25" s="6"/>
      <x:c r="Q25" s="33"/>
      <x:c r="R25" s="33"/>
      <x:c r="S25" s="44"/>
      <x:c r="T25" s="45" t="str">
        <x:f>IF(OR(F25="Buy currency",F25="Sell currency"),I25,"")</x:f>
      </x:c>
      <x:c r="U25" s="33"/>
    </x:row>
    <x:row r="26">
      <x:c r="A26" s="6"/>
      <x:c r="B26" s="6"/>
      <x:c r="C26" s="6"/>
      <x:c r="D26" s="6"/>
      <x:c r="E26" s="6"/>
      <x:c r="F26" s="6"/>
      <x:c r="G26" s="6"/>
      <x:c r="H26" s="6"/>
      <x:c r="I26" s="39"/>
      <x:c r="J26" s="6"/>
      <x:c r="K26" s="6"/>
      <x:c r="L26" s="6"/>
      <x:c r="M26" s="6"/>
      <x:c r="N26" s="6"/>
      <x:c r="O26" s="40"/>
      <x:c r="P26" s="6"/>
      <x:c r="Q26" s="33"/>
      <x:c r="R26" s="33"/>
      <x:c r="S26" s="44"/>
      <x:c r="T26" s="45" t="str">
        <x:f>IF(OR(F26="Buy currency",F26="Sell currency"),I26,"")</x:f>
      </x:c>
      <x:c r="U26" s="33"/>
    </x:row>
    <x:row r="27">
      <x:c r="A27" s="6"/>
      <x:c r="B27" s="6"/>
      <x:c r="C27" s="6"/>
      <x:c r="D27" s="6"/>
      <x:c r="E27" s="6"/>
      <x:c r="F27" s="6"/>
      <x:c r="G27" s="6"/>
      <x:c r="H27" s="6"/>
      <x:c r="I27" s="39"/>
      <x:c r="J27" s="6"/>
      <x:c r="K27" s="6"/>
      <x:c r="L27" s="6"/>
      <x:c r="M27" s="6"/>
      <x:c r="N27" s="6"/>
      <x:c r="O27" s="40"/>
      <x:c r="P27" s="6"/>
      <x:c r="Q27" s="33"/>
      <x:c r="R27" s="33"/>
      <x:c r="S27" s="44"/>
      <x:c r="T27" s="45" t="str">
        <x:f>IF(OR(F27="Buy currency",F27="Sell currency"),I27,"")</x:f>
      </x:c>
      <x:c r="U27" s="33"/>
    </x:row>
    <x:row r="28">
      <x:c r="A28" s="6"/>
      <x:c r="B28" s="6"/>
      <x:c r="C28" s="6"/>
      <x:c r="D28" s="6"/>
      <x:c r="E28" s="6"/>
      <x:c r="F28" s="6"/>
      <x:c r="G28" s="6"/>
      <x:c r="H28" s="6"/>
      <x:c r="I28" s="39"/>
      <x:c r="J28" s="6"/>
      <x:c r="K28" s="6"/>
      <x:c r="L28" s="6"/>
      <x:c r="M28" s="6"/>
      <x:c r="N28" s="6"/>
      <x:c r="O28" s="40"/>
      <x:c r="P28" s="6"/>
      <x:c r="Q28" s="33"/>
      <x:c r="R28" s="33"/>
      <x:c r="S28" s="44"/>
      <x:c r="T28" s="45" t="str">
        <x:f>IF(OR(F28="Buy currency",F28="Sell currency"),I28,"")</x:f>
      </x:c>
      <x:c r="U28" s="33"/>
    </x:row>
    <x:row r="29">
      <x:c r="A29" s="6"/>
      <x:c r="B29" s="6"/>
      <x:c r="C29" s="6"/>
      <x:c r="D29" s="6"/>
      <x:c r="E29" s="6"/>
      <x:c r="F29" s="6"/>
      <x:c r="G29" s="6"/>
      <x:c r="H29" s="6"/>
      <x:c r="I29" s="39"/>
      <x:c r="J29" s="6"/>
      <x:c r="K29" s="6"/>
      <x:c r="L29" s="6"/>
      <x:c r="M29" s="6"/>
      <x:c r="N29" s="6"/>
      <x:c r="O29" s="40"/>
      <x:c r="P29" s="6"/>
      <x:c r="Q29" s="33"/>
      <x:c r="R29" s="33"/>
      <x:c r="S29" s="44"/>
      <x:c r="T29" s="45" t="str">
        <x:f>IF(OR(F29="Buy currency",F29="Sell currency"),I29,"")</x:f>
      </x:c>
      <x:c r="U29" s="33"/>
    </x:row>
    <x:row r="30">
      <x:c r="A30" s="6"/>
      <x:c r="B30" s="6"/>
      <x:c r="C30" s="6"/>
      <x:c r="D30" s="6"/>
      <x:c r="E30" s="6"/>
      <x:c r="F30" s="6"/>
      <x:c r="G30" s="6"/>
      <x:c r="H30" s="6"/>
      <x:c r="I30" s="39"/>
      <x:c r="J30" s="6"/>
      <x:c r="K30" s="6"/>
      <x:c r="L30" s="6"/>
      <x:c r="M30" s="6"/>
      <x:c r="N30" s="6"/>
      <x:c r="O30" s="40"/>
      <x:c r="P30" s="6"/>
      <x:c r="Q30" s="33"/>
      <x:c r="R30" s="33"/>
      <x:c r="S30" s="44"/>
      <x:c r="T30" s="45" t="str">
        <x:f>IF(OR(F30="Buy currency",F30="Sell currency"),I30,"")</x:f>
      </x:c>
      <x:c r="U30" s="33"/>
    </x:row>
    <x:row r="31">
      <x:c r="A31" s="6"/>
      <x:c r="B31" s="6"/>
      <x:c r="C31" s="6"/>
      <x:c r="D31" s="6"/>
      <x:c r="E31" s="6"/>
      <x:c r="F31" s="6"/>
      <x:c r="G31" s="6"/>
      <x:c r="H31" s="6"/>
      <x:c r="I31" s="39"/>
      <x:c r="J31" s="6"/>
      <x:c r="K31" s="6"/>
      <x:c r="L31" s="6"/>
      <x:c r="M31" s="6"/>
      <x:c r="N31" s="6"/>
      <x:c r="O31" s="40"/>
      <x:c r="P31" s="6"/>
      <x:c r="Q31" s="33"/>
      <x:c r="R31" s="33"/>
      <x:c r="S31" s="44"/>
      <x:c r="T31" s="45" t="str">
        <x:f>IF(OR(F31="Buy currency",F31="Sell currency"),I31,"")</x:f>
      </x:c>
      <x:c r="U31" s="33"/>
    </x:row>
    <x:row r="32">
      <x:c r="A32" s="6"/>
      <x:c r="B32" s="6"/>
      <x:c r="C32" s="6"/>
      <x:c r="D32" s="6"/>
      <x:c r="E32" s="6"/>
      <x:c r="F32" s="6"/>
      <x:c r="G32" s="6"/>
      <x:c r="H32" s="6"/>
      <x:c r="I32" s="39"/>
      <x:c r="J32" s="6"/>
      <x:c r="K32" s="6"/>
      <x:c r="L32" s="6"/>
      <x:c r="M32" s="6"/>
      <x:c r="N32" s="6"/>
      <x:c r="O32" s="40"/>
      <x:c r="P32" s="6"/>
      <x:c r="Q32" s="33"/>
      <x:c r="R32" s="33"/>
      <x:c r="S32" s="44"/>
      <x:c r="T32" s="45" t="str">
        <x:f>IF(OR(F32="Buy currency",F32="Sell currency"),I32,"")</x:f>
      </x:c>
      <x:c r="U32" s="33"/>
    </x:row>
    <x:row r="33">
      <x:c r="A33" s="6"/>
      <x:c r="B33" s="6"/>
      <x:c r="C33" s="6"/>
      <x:c r="D33" s="6"/>
      <x:c r="E33" s="6"/>
      <x:c r="F33" s="6"/>
      <x:c r="G33" s="6"/>
      <x:c r="H33" s="6"/>
      <x:c r="I33" s="39"/>
      <x:c r="J33" s="6"/>
      <x:c r="K33" s="6"/>
      <x:c r="L33" s="6"/>
      <x:c r="M33" s="6"/>
      <x:c r="N33" s="6"/>
      <x:c r="O33" s="40"/>
      <x:c r="P33" s="6"/>
      <x:c r="Q33" s="33"/>
      <x:c r="R33" s="33"/>
      <x:c r="S33" s="44"/>
      <x:c r="T33" s="45" t="str">
        <x:f>IF(OR(F33="Buy currency",F33="Sell currency"),I33,"")</x:f>
      </x:c>
      <x:c r="U33" s="33"/>
    </x:row>
    <x:row r="34">
      <x:c r="A34" s="6"/>
      <x:c r="B34" s="6"/>
      <x:c r="C34" s="6"/>
      <x:c r="D34" s="6"/>
      <x:c r="E34" s="6"/>
      <x:c r="F34" s="6"/>
      <x:c r="G34" s="6"/>
      <x:c r="H34" s="6"/>
      <x:c r="I34" s="39"/>
      <x:c r="J34" s="6"/>
      <x:c r="K34" s="6"/>
      <x:c r="L34" s="6"/>
      <x:c r="M34" s="6"/>
      <x:c r="N34" s="6"/>
      <x:c r="O34" s="40"/>
      <x:c r="P34" s="6"/>
      <x:c r="Q34" s="33"/>
      <x:c r="R34" s="33"/>
      <x:c r="S34" s="44"/>
      <x:c r="T34" s="45" t="str">
        <x:f>IF(OR(F34="Buy currency",F34="Sell currency"),I34,"")</x:f>
      </x:c>
      <x:c r="U34" s="33"/>
    </x:row>
    <x:row r="35">
      <x:c r="A35" s="6"/>
      <x:c r="B35" s="6"/>
      <x:c r="C35" s="6"/>
      <x:c r="D35" s="6"/>
      <x:c r="E35" s="6"/>
      <x:c r="F35" s="6"/>
      <x:c r="G35" s="6"/>
      <x:c r="H35" s="6"/>
      <x:c r="I35" s="39"/>
      <x:c r="J35" s="6"/>
      <x:c r="K35" s="6"/>
      <x:c r="L35" s="6"/>
      <x:c r="M35" s="6"/>
      <x:c r="N35" s="6"/>
      <x:c r="O35" s="40"/>
      <x:c r="P35" s="6"/>
      <x:c r="Q35" s="33"/>
      <x:c r="R35" s="33"/>
      <x:c r="S35" s="44"/>
      <x:c r="T35" s="45" t="str">
        <x:f>IF(OR(F35="Buy currency",F35="Sell currency"),I35,"")</x:f>
      </x:c>
      <x:c r="U35" s="33"/>
    </x:row>
    <x:row r="36">
      <x:c r="A36" s="6"/>
      <x:c r="B36" s="6"/>
      <x:c r="C36" s="6"/>
      <x:c r="D36" s="6"/>
      <x:c r="E36" s="6"/>
      <x:c r="F36" s="6"/>
      <x:c r="G36" s="6"/>
      <x:c r="H36" s="6"/>
      <x:c r="I36" s="39"/>
      <x:c r="J36" s="6"/>
      <x:c r="K36" s="6"/>
      <x:c r="L36" s="6"/>
      <x:c r="M36" s="6"/>
      <x:c r="N36" s="6"/>
      <x:c r="O36" s="40"/>
      <x:c r="P36" s="6"/>
      <x:c r="Q36" s="33"/>
      <x:c r="R36" s="33"/>
      <x:c r="S36" s="44"/>
      <x:c r="T36" s="45" t="str">
        <x:f>IF(OR(F36="Buy currency",F36="Sell currency"),I36,"")</x:f>
      </x:c>
      <x:c r="U36" s="33"/>
    </x:row>
    <x:row r="37">
      <x:c r="A37" s="6"/>
      <x:c r="B37" s="6"/>
      <x:c r="C37" s="6"/>
      <x:c r="D37" s="6"/>
      <x:c r="E37" s="6"/>
      <x:c r="F37" s="6"/>
      <x:c r="G37" s="6"/>
      <x:c r="H37" s="6"/>
      <x:c r="I37" s="39"/>
      <x:c r="J37" s="6"/>
      <x:c r="K37" s="6"/>
      <x:c r="L37" s="6"/>
      <x:c r="M37" s="6"/>
      <x:c r="N37" s="6"/>
      <x:c r="O37" s="40"/>
      <x:c r="P37" s="6"/>
      <x:c r="Q37" s="33"/>
      <x:c r="R37" s="33"/>
      <x:c r="S37" s="44"/>
      <x:c r="T37" s="45" t="str">
        <x:f>IF(OR(F37="Buy currency",F37="Sell currency"),I37,"")</x:f>
      </x:c>
      <x:c r="U37" s="33"/>
    </x:row>
    <x:row r="38">
      <x:c r="A38" s="6"/>
      <x:c r="B38" s="6"/>
      <x:c r="C38" s="6"/>
      <x:c r="D38" s="6"/>
      <x:c r="E38" s="6"/>
      <x:c r="F38" s="6"/>
      <x:c r="G38" s="6"/>
      <x:c r="H38" s="6"/>
      <x:c r="I38" s="39"/>
      <x:c r="J38" s="6"/>
      <x:c r="K38" s="6"/>
      <x:c r="L38" s="6"/>
      <x:c r="M38" s="6"/>
      <x:c r="N38" s="6"/>
      <x:c r="O38" s="40"/>
      <x:c r="P38" s="6"/>
      <x:c r="Q38" s="33"/>
      <x:c r="R38" s="33"/>
      <x:c r="S38" s="44"/>
      <x:c r="T38" s="45" t="str">
        <x:f>IF(OR(F38="Buy currency",F38="Sell currency"),I38,"")</x:f>
      </x:c>
      <x:c r="U38" s="33"/>
    </x:row>
    <x:row r="39">
      <x:c r="A39" s="6"/>
      <x:c r="B39" s="6"/>
      <x:c r="C39" s="6"/>
      <x:c r="D39" s="6"/>
      <x:c r="E39" s="6"/>
      <x:c r="F39" s="6"/>
      <x:c r="G39" s="6"/>
      <x:c r="H39" s="6"/>
      <x:c r="I39" s="39"/>
      <x:c r="J39" s="6"/>
      <x:c r="K39" s="6"/>
      <x:c r="L39" s="6"/>
      <x:c r="M39" s="6"/>
      <x:c r="N39" s="6"/>
      <x:c r="O39" s="40"/>
      <x:c r="P39" s="6"/>
      <x:c r="Q39" s="33"/>
      <x:c r="R39" s="33"/>
      <x:c r="S39" s="44"/>
      <x:c r="T39" s="45" t="str">
        <x:f>IF(OR(F39="Buy currency",F39="Sell currency"),I39,"")</x:f>
      </x:c>
      <x:c r="U39" s="33"/>
    </x:row>
    <x:row r="40">
      <x:c r="A40" s="6"/>
      <x:c r="B40" s="6"/>
      <x:c r="C40" s="6"/>
      <x:c r="D40" s="6"/>
      <x:c r="E40" s="6"/>
      <x:c r="F40" s="6"/>
      <x:c r="G40" s="6"/>
      <x:c r="H40" s="6"/>
      <x:c r="I40" s="39"/>
      <x:c r="J40" s="6"/>
      <x:c r="K40" s="6"/>
      <x:c r="L40" s="6"/>
      <x:c r="M40" s="6"/>
      <x:c r="N40" s="6"/>
      <x:c r="O40" s="40"/>
      <x:c r="P40" s="6"/>
      <x:c r="Q40" s="33"/>
      <x:c r="R40" s="33"/>
      <x:c r="S40" s="44"/>
      <x:c r="T40" s="45" t="str">
        <x:f>IF(OR(F40="Buy currency",F40="Sell currency"),I40,"")</x:f>
      </x:c>
      <x:c r="U40" s="33"/>
    </x:row>
    <x:row r="41">
      <x:c r="A41" s="6"/>
      <x:c r="B41" s="6"/>
      <x:c r="C41" s="6"/>
      <x:c r="D41" s="6"/>
      <x:c r="E41" s="6"/>
      <x:c r="F41" s="6"/>
      <x:c r="G41" s="6"/>
      <x:c r="H41" s="6"/>
      <x:c r="I41" s="39"/>
      <x:c r="J41" s="6"/>
      <x:c r="K41" s="6"/>
      <x:c r="L41" s="6"/>
      <x:c r="M41" s="6"/>
      <x:c r="N41" s="6"/>
      <x:c r="O41" s="40"/>
      <x:c r="P41" s="6"/>
      <x:c r="Q41" s="33"/>
      <x:c r="R41" s="33"/>
      <x:c r="S41" s="44"/>
      <x:c r="T41" s="45" t="str">
        <x:f>IF(OR(F41="Buy currency",F41="Sell currency"),I41,"")</x:f>
      </x:c>
      <x:c r="U41" s="33"/>
    </x:row>
    <x:row r="42">
      <x:c r="A42" s="6"/>
      <x:c r="B42" s="6"/>
      <x:c r="C42" s="6"/>
      <x:c r="D42" s="6"/>
      <x:c r="E42" s="6"/>
      <x:c r="F42" s="6"/>
      <x:c r="G42" s="6"/>
      <x:c r="H42" s="6"/>
      <x:c r="I42" s="39"/>
      <x:c r="J42" s="6"/>
      <x:c r="K42" s="6"/>
      <x:c r="L42" s="6"/>
      <x:c r="M42" s="6"/>
      <x:c r="N42" s="6"/>
      <x:c r="O42" s="40"/>
      <x:c r="P42" s="6"/>
      <x:c r="Q42" s="33"/>
      <x:c r="R42" s="33"/>
      <x:c r="S42" s="44"/>
      <x:c r="T42" s="45" t="str">
        <x:f>IF(OR(F42="Buy currency",F42="Sell currency"),I42,"")</x:f>
      </x:c>
      <x:c r="U42" s="33"/>
    </x:row>
    <x:row r="43">
      <x:c r="A43" s="6"/>
      <x:c r="B43" s="6"/>
      <x:c r="C43" s="6"/>
      <x:c r="D43" s="6"/>
      <x:c r="E43" s="6"/>
      <x:c r="F43" s="6"/>
      <x:c r="G43" s="6"/>
      <x:c r="H43" s="6"/>
      <x:c r="I43" s="39"/>
      <x:c r="J43" s="6"/>
      <x:c r="K43" s="6"/>
      <x:c r="L43" s="6"/>
      <x:c r="M43" s="6"/>
      <x:c r="N43" s="6"/>
      <x:c r="O43" s="40"/>
      <x:c r="P43" s="6"/>
      <x:c r="Q43" s="33"/>
      <x:c r="R43" s="33"/>
      <x:c r="S43" s="44"/>
      <x:c r="T43" s="45" t="str">
        <x:f>IF(OR(F43="Buy currency",F43="Sell currency"),I43,"")</x:f>
      </x:c>
      <x:c r="U43" s="33"/>
    </x:row>
    <x:row r="44">
      <x:c r="A44" s="6"/>
      <x:c r="B44" s="6"/>
      <x:c r="C44" s="6"/>
      <x:c r="D44" s="6"/>
      <x:c r="E44" s="6"/>
      <x:c r="F44" s="6"/>
      <x:c r="G44" s="6"/>
      <x:c r="H44" s="6"/>
      <x:c r="I44" s="39"/>
      <x:c r="J44" s="6"/>
      <x:c r="K44" s="6"/>
      <x:c r="L44" s="6"/>
      <x:c r="M44" s="6"/>
      <x:c r="N44" s="6"/>
      <x:c r="O44" s="40"/>
      <x:c r="P44" s="6"/>
      <x:c r="Q44" s="33"/>
      <x:c r="R44" s="33"/>
      <x:c r="S44" s="44"/>
      <x:c r="T44" s="45" t="str">
        <x:f>IF(OR(F44="Buy currency",F44="Sell currency"),I44,"")</x:f>
      </x:c>
      <x:c r="U44" s="33"/>
    </x:row>
    <x:row r="45">
      <x:c r="A45" s="6"/>
      <x:c r="B45" s="6"/>
      <x:c r="C45" s="6"/>
      <x:c r="D45" s="6"/>
      <x:c r="E45" s="6"/>
      <x:c r="F45" s="6"/>
      <x:c r="G45" s="6"/>
      <x:c r="H45" s="6"/>
      <x:c r="I45" s="39"/>
      <x:c r="J45" s="6"/>
      <x:c r="K45" s="6"/>
      <x:c r="L45" s="6"/>
      <x:c r="M45" s="6"/>
      <x:c r="N45" s="6"/>
      <x:c r="O45" s="40"/>
      <x:c r="P45" s="6"/>
      <x:c r="Q45" s="33"/>
      <x:c r="R45" s="33"/>
      <x:c r="S45" s="44"/>
      <x:c r="T45" s="45" t="str">
        <x:f>IF(OR(F45="Buy currency",F45="Sell currency"),I45,"")</x:f>
      </x:c>
      <x:c r="U45" s="33"/>
    </x:row>
    <x:row r="46">
      <x:c r="A46" s="6"/>
      <x:c r="B46" s="6"/>
      <x:c r="C46" s="6"/>
      <x:c r="D46" s="6"/>
      <x:c r="E46" s="6"/>
      <x:c r="F46" s="6"/>
      <x:c r="G46" s="6"/>
      <x:c r="H46" s="6"/>
      <x:c r="I46" s="39"/>
      <x:c r="J46" s="6"/>
      <x:c r="K46" s="6"/>
      <x:c r="L46" s="6"/>
      <x:c r="M46" s="6"/>
      <x:c r="N46" s="6"/>
      <x:c r="O46" s="40"/>
      <x:c r="P46" s="6"/>
      <x:c r="Q46" s="33"/>
      <x:c r="R46" s="33"/>
      <x:c r="S46" s="44"/>
      <x:c r="T46" s="45" t="str">
        <x:f>IF(OR(F46="Buy currency",F46="Sell currency"),I46,"")</x:f>
      </x:c>
      <x:c r="U46" s="33"/>
    </x:row>
    <x:row r="47">
      <x:c r="A47" s="6"/>
      <x:c r="B47" s="6"/>
      <x:c r="C47" s="6"/>
      <x:c r="D47" s="6"/>
      <x:c r="E47" s="6"/>
      <x:c r="F47" s="6"/>
      <x:c r="G47" s="6"/>
      <x:c r="H47" s="6"/>
      <x:c r="I47" s="39"/>
      <x:c r="J47" s="6"/>
      <x:c r="K47" s="6"/>
      <x:c r="L47" s="6"/>
      <x:c r="M47" s="6"/>
      <x:c r="N47" s="6"/>
      <x:c r="O47" s="40"/>
      <x:c r="P47" s="6"/>
      <x:c r="Q47" s="33"/>
      <x:c r="R47" s="33"/>
      <x:c r="S47" s="44"/>
      <x:c r="T47" s="45" t="str">
        <x:f>IF(OR(F47="Buy currency",F47="Sell currency"),I47,"")</x:f>
      </x:c>
      <x:c r="U47" s="33"/>
    </x:row>
    <x:row r="48">
      <x:c r="A48" s="6"/>
      <x:c r="B48" s="6"/>
      <x:c r="C48" s="6"/>
      <x:c r="D48" s="6"/>
      <x:c r="E48" s="6"/>
      <x:c r="F48" s="6"/>
      <x:c r="G48" s="6"/>
      <x:c r="H48" s="6"/>
      <x:c r="I48" s="39"/>
      <x:c r="J48" s="6"/>
      <x:c r="K48" s="6"/>
      <x:c r="L48" s="6"/>
      <x:c r="M48" s="6"/>
      <x:c r="N48" s="6"/>
      <x:c r="O48" s="40"/>
      <x:c r="P48" s="6"/>
      <x:c r="Q48" s="33"/>
      <x:c r="R48" s="33"/>
      <x:c r="S48" s="44"/>
      <x:c r="T48" s="45" t="str">
        <x:f>IF(OR(F48="Buy currency",F48="Sell currency"),I48,"")</x:f>
      </x:c>
      <x:c r="U48" s="33"/>
    </x:row>
    <x:row r="49">
      <x:c r="A49" s="6"/>
      <x:c r="B49" s="6"/>
      <x:c r="C49" s="6"/>
      <x:c r="D49" s="6"/>
      <x:c r="E49" s="6"/>
      <x:c r="F49" s="6"/>
      <x:c r="G49" s="6"/>
      <x:c r="H49" s="6"/>
      <x:c r="I49" s="39"/>
      <x:c r="J49" s="6"/>
      <x:c r="K49" s="6"/>
      <x:c r="L49" s="6"/>
      <x:c r="M49" s="6"/>
      <x:c r="N49" s="6"/>
      <x:c r="O49" s="40"/>
      <x:c r="P49" s="6"/>
      <x:c r="Q49" s="33"/>
      <x:c r="R49" s="33"/>
      <x:c r="S49" s="44"/>
      <x:c r="T49" s="45" t="str">
        <x:f>IF(OR(F49="Buy currency",F49="Sell currency"),I49,"")</x:f>
      </x:c>
      <x:c r="U49" s="33"/>
    </x:row>
    <x:row r="50">
      <x:c r="A50" s="6"/>
      <x:c r="B50" s="6"/>
      <x:c r="C50" s="6"/>
      <x:c r="D50" s="6"/>
      <x:c r="E50" s="6"/>
      <x:c r="F50" s="6"/>
      <x:c r="G50" s="6"/>
      <x:c r="H50" s="6"/>
      <x:c r="I50" s="39"/>
      <x:c r="J50" s="6"/>
      <x:c r="K50" s="6"/>
      <x:c r="L50" s="6"/>
      <x:c r="M50" s="6"/>
      <x:c r="N50" s="6"/>
      <x:c r="O50" s="40"/>
      <x:c r="P50" s="6"/>
      <x:c r="Q50" s="33"/>
      <x:c r="R50" s="33"/>
      <x:c r="S50" s="44"/>
      <x:c r="T50" s="45" t="str">
        <x:f>IF(OR(F50="Buy currency",F50="Sell currency"),I50,"")</x:f>
      </x:c>
      <x:c r="U50" s="33"/>
    </x:row>
    <x:row r="51">
      <x:c r="A51" s="6"/>
      <x:c r="B51" s="6"/>
      <x:c r="C51" s="6"/>
      <x:c r="D51" s="6"/>
      <x:c r="E51" s="6"/>
      <x:c r="F51" s="6"/>
      <x:c r="G51" s="6"/>
      <x:c r="H51" s="6"/>
      <x:c r="I51" s="39"/>
      <x:c r="J51" s="6"/>
      <x:c r="K51" s="6"/>
      <x:c r="L51" s="6"/>
      <x:c r="M51" s="6"/>
      <x:c r="N51" s="6"/>
      <x:c r="O51" s="40"/>
      <x:c r="P51" s="6"/>
      <x:c r="Q51" s="33"/>
      <x:c r="R51" s="33"/>
      <x:c r="S51" s="44"/>
      <x:c r="T51" s="45" t="str">
        <x:f>IF(OR(F51="Buy currency",F51="Sell currency"),I51,"")</x:f>
      </x:c>
      <x:c r="U51" s="33"/>
    </x:row>
    <x:row r="52">
      <x:c r="A52" s="6"/>
      <x:c r="B52" s="6"/>
      <x:c r="C52" s="6"/>
      <x:c r="D52" s="6"/>
      <x:c r="E52" s="6"/>
      <x:c r="F52" s="6"/>
      <x:c r="G52" s="6"/>
      <x:c r="H52" s="6"/>
      <x:c r="I52" s="39"/>
      <x:c r="J52" s="6"/>
      <x:c r="K52" s="6"/>
      <x:c r="L52" s="6"/>
      <x:c r="M52" s="6"/>
      <x:c r="N52" s="6"/>
      <x:c r="O52" s="40"/>
      <x:c r="P52" s="6"/>
      <x:c r="Q52" s="33"/>
      <x:c r="R52" s="33"/>
      <x:c r="S52" s="44"/>
      <x:c r="T52" s="45" t="str">
        <x:f>IF(OR(F52="Buy currency",F52="Sell currency"),I52,"")</x:f>
      </x:c>
      <x:c r="U52" s="33"/>
    </x:row>
    <x:row r="53">
      <x:c r="A53" s="6"/>
      <x:c r="B53" s="6"/>
      <x:c r="C53" s="6"/>
      <x:c r="D53" s="6"/>
      <x:c r="E53" s="6"/>
      <x:c r="F53" s="6"/>
      <x:c r="G53" s="6"/>
      <x:c r="H53" s="6"/>
      <x:c r="I53" s="39"/>
      <x:c r="J53" s="6"/>
      <x:c r="K53" s="6"/>
      <x:c r="L53" s="6"/>
      <x:c r="M53" s="6"/>
      <x:c r="N53" s="6"/>
      <x:c r="O53" s="40"/>
      <x:c r="P53" s="6"/>
      <x:c r="Q53" s="33"/>
      <x:c r="R53" s="33"/>
      <x:c r="S53" s="44"/>
      <x:c r="T53" s="45" t="str">
        <x:f>IF(OR(F53="Buy currency",F53="Sell currency"),I53,"")</x:f>
      </x:c>
      <x:c r="U53" s="33"/>
    </x:row>
    <x:row r="54">
      <x:c r="A54" s="6"/>
      <x:c r="B54" s="6"/>
      <x:c r="C54" s="6"/>
      <x:c r="D54" s="6"/>
      <x:c r="E54" s="6"/>
      <x:c r="F54" s="6"/>
      <x:c r="G54" s="6"/>
      <x:c r="H54" s="6"/>
      <x:c r="I54" s="39"/>
      <x:c r="J54" s="6"/>
      <x:c r="K54" s="6"/>
      <x:c r="L54" s="6"/>
      <x:c r="M54" s="6"/>
      <x:c r="N54" s="6"/>
      <x:c r="O54" s="40"/>
      <x:c r="P54" s="6"/>
      <x:c r="Q54" s="33"/>
      <x:c r="R54" s="33"/>
      <x:c r="S54" s="44"/>
      <x:c r="T54" s="45" t="str">
        <x:f>IF(OR(F54="Buy currency",F54="Sell currency"),I54,"")</x:f>
      </x:c>
      <x:c r="U54" s="33"/>
    </x:row>
    <x:row r="55">
      <x:c r="A55" s="6"/>
      <x:c r="B55" s="6"/>
      <x:c r="C55" s="6"/>
      <x:c r="D55" s="6"/>
      <x:c r="E55" s="6"/>
      <x:c r="F55" s="6"/>
      <x:c r="G55" s="6"/>
      <x:c r="H55" s="6"/>
      <x:c r="I55" s="39"/>
      <x:c r="J55" s="6"/>
      <x:c r="K55" s="6"/>
      <x:c r="L55" s="6"/>
      <x:c r="M55" s="6"/>
      <x:c r="N55" s="6"/>
      <x:c r="O55" s="40"/>
      <x:c r="P55" s="6"/>
      <x:c r="Q55" s="33"/>
      <x:c r="R55" s="33"/>
      <x:c r="S55" s="44"/>
      <x:c r="T55" s="45" t="str">
        <x:f>IF(OR(F55="Buy currency",F55="Sell currency"),I55,"")</x:f>
      </x:c>
      <x:c r="U55" s="33"/>
    </x:row>
    <x:row r="56">
      <x:c r="A56" s="6"/>
      <x:c r="B56" s="6"/>
      <x:c r="C56" s="6"/>
      <x:c r="D56" s="6"/>
      <x:c r="E56" s="6"/>
      <x:c r="F56" s="6"/>
      <x:c r="G56" s="6"/>
      <x:c r="H56" s="6"/>
      <x:c r="I56" s="39"/>
      <x:c r="J56" s="6"/>
      <x:c r="K56" s="6"/>
      <x:c r="L56" s="6"/>
      <x:c r="M56" s="6"/>
      <x:c r="N56" s="6"/>
      <x:c r="O56" s="40"/>
      <x:c r="P56" s="6"/>
      <x:c r="Q56" s="33"/>
      <x:c r="R56" s="33"/>
      <x:c r="S56" s="44"/>
      <x:c r="T56" s="45" t="str">
        <x:f>IF(OR(F56="Buy currency",F56="Sell currency"),I56,"")</x:f>
      </x:c>
      <x:c r="U56" s="33"/>
    </x:row>
    <x:row r="57">
      <x:c r="A57" s="6"/>
      <x:c r="B57" s="6"/>
      <x:c r="C57" s="6"/>
      <x:c r="D57" s="6"/>
      <x:c r="E57" s="6"/>
      <x:c r="F57" s="6"/>
      <x:c r="G57" s="6"/>
      <x:c r="H57" s="6"/>
      <x:c r="I57" s="39"/>
      <x:c r="J57" s="6"/>
      <x:c r="K57" s="6"/>
      <x:c r="L57" s="6"/>
      <x:c r="M57" s="6"/>
      <x:c r="N57" s="6"/>
      <x:c r="O57" s="40"/>
      <x:c r="P57" s="6"/>
      <x:c r="Q57" s="33"/>
      <x:c r="R57" s="33"/>
      <x:c r="S57" s="44"/>
      <x:c r="T57" s="45" t="str">
        <x:f>IF(OR(F57="Buy currency",F57="Sell currency"),I57,"")</x:f>
      </x:c>
      <x:c r="U57" s="33"/>
    </x:row>
    <x:row r="58">
      <x:c r="A58" s="6"/>
      <x:c r="B58" s="6"/>
      <x:c r="C58" s="6"/>
      <x:c r="D58" s="6"/>
      <x:c r="E58" s="6"/>
      <x:c r="F58" s="6"/>
      <x:c r="G58" s="6"/>
      <x:c r="H58" s="6"/>
      <x:c r="I58" s="39"/>
      <x:c r="J58" s="6"/>
      <x:c r="K58" s="6"/>
      <x:c r="L58" s="6"/>
      <x:c r="M58" s="6"/>
      <x:c r="N58" s="6"/>
      <x:c r="O58" s="40"/>
      <x:c r="P58" s="6"/>
      <x:c r="Q58" s="33"/>
      <x:c r="R58" s="33"/>
      <x:c r="S58" s="44"/>
      <x:c r="T58" s="45" t="str">
        <x:f>IF(OR(F58="Buy currency",F58="Sell currency"),I58,"")</x:f>
      </x:c>
      <x:c r="U58" s="33"/>
    </x:row>
    <x:row r="59">
      <x:c r="A59" s="6"/>
      <x:c r="B59" s="6"/>
      <x:c r="C59" s="6"/>
      <x:c r="D59" s="6"/>
      <x:c r="E59" s="6"/>
      <x:c r="F59" s="6"/>
      <x:c r="G59" s="6"/>
      <x:c r="H59" s="6"/>
      <x:c r="I59" s="39"/>
      <x:c r="J59" s="6"/>
      <x:c r="K59" s="6"/>
      <x:c r="L59" s="6"/>
      <x:c r="M59" s="6"/>
      <x:c r="N59" s="6"/>
      <x:c r="O59" s="40"/>
      <x:c r="P59" s="6"/>
      <x:c r="Q59" s="33"/>
      <x:c r="R59" s="33"/>
      <x:c r="S59" s="44"/>
      <x:c r="T59" s="45" t="str">
        <x:f>IF(OR(F59="Buy currency",F59="Sell currency"),I59,"")</x:f>
      </x:c>
      <x:c r="U59" s="33"/>
    </x:row>
    <x:row r="60">
      <x:c r="A60" s="6"/>
      <x:c r="B60" s="6"/>
      <x:c r="C60" s="6"/>
      <x:c r="D60" s="6"/>
      <x:c r="E60" s="6"/>
      <x:c r="F60" s="6"/>
      <x:c r="G60" s="6"/>
      <x:c r="H60" s="6"/>
      <x:c r="I60" s="39"/>
      <x:c r="J60" s="6"/>
      <x:c r="K60" s="6"/>
      <x:c r="L60" s="6"/>
      <x:c r="M60" s="6"/>
      <x:c r="N60" s="6"/>
      <x:c r="O60" s="40"/>
      <x:c r="P60" s="6"/>
      <x:c r="Q60" s="33"/>
      <x:c r="R60" s="33"/>
      <x:c r="S60" s="44"/>
      <x:c r="T60" s="45" t="str">
        <x:f>IF(OR(F60="Buy currency",F60="Sell currency"),I60,"")</x:f>
      </x:c>
      <x:c r="U60" s="33"/>
    </x:row>
    <x:row r="61">
      <x:c r="A61" s="6"/>
      <x:c r="B61" s="6"/>
      <x:c r="C61" s="6"/>
      <x:c r="D61" s="6"/>
      <x:c r="E61" s="6"/>
      <x:c r="F61" s="6"/>
      <x:c r="G61" s="6"/>
      <x:c r="H61" s="6"/>
      <x:c r="I61" s="39"/>
      <x:c r="J61" s="6"/>
      <x:c r="K61" s="6"/>
      <x:c r="L61" s="6"/>
      <x:c r="M61" s="6"/>
      <x:c r="N61" s="6"/>
      <x:c r="O61" s="40"/>
      <x:c r="P61" s="6"/>
      <x:c r="Q61" s="33"/>
      <x:c r="R61" s="33"/>
      <x:c r="S61" s="44"/>
      <x:c r="T61" s="45" t="str">
        <x:f>IF(OR(F61="Buy currency",F61="Sell currency"),I61,"")</x:f>
      </x:c>
      <x:c r="U61" s="33"/>
    </x:row>
    <x:row r="62">
      <x:c r="A62" s="6"/>
      <x:c r="B62" s="6"/>
      <x:c r="C62" s="6"/>
      <x:c r="D62" s="6"/>
      <x:c r="E62" s="6"/>
      <x:c r="F62" s="6"/>
      <x:c r="G62" s="6"/>
      <x:c r="H62" s="6"/>
      <x:c r="I62" s="39"/>
      <x:c r="J62" s="6"/>
      <x:c r="K62" s="6"/>
      <x:c r="L62" s="6"/>
      <x:c r="M62" s="6"/>
      <x:c r="N62" s="6"/>
      <x:c r="O62" s="40"/>
      <x:c r="P62" s="6"/>
      <x:c r="Q62" s="33"/>
      <x:c r="R62" s="33"/>
      <x:c r="S62" s="44"/>
      <x:c r="T62" s="45" t="str">
        <x:f>IF(OR(F62="Buy currency",F62="Sell currency"),I62,"")</x:f>
      </x:c>
      <x:c r="U62" s="33"/>
    </x:row>
    <x:row r="63">
      <x:c r="A63" s="6"/>
      <x:c r="B63" s="6"/>
      <x:c r="C63" s="6"/>
      <x:c r="D63" s="6"/>
      <x:c r="E63" s="6"/>
      <x:c r="F63" s="6"/>
      <x:c r="G63" s="6"/>
      <x:c r="H63" s="6"/>
      <x:c r="I63" s="39"/>
      <x:c r="J63" s="6"/>
      <x:c r="K63" s="6"/>
      <x:c r="L63" s="6"/>
      <x:c r="M63" s="6"/>
      <x:c r="N63" s="6"/>
      <x:c r="O63" s="40"/>
      <x:c r="P63" s="6"/>
      <x:c r="Q63" s="33"/>
      <x:c r="R63" s="33"/>
      <x:c r="S63" s="44"/>
      <x:c r="T63" s="45" t="str">
        <x:f>IF(OR(F63="Buy currency",F63="Sell currency"),I63,"")</x:f>
      </x:c>
      <x:c r="U63" s="33"/>
    </x:row>
    <x:row r="64">
      <x:c r="A64" s="6"/>
      <x:c r="B64" s="6"/>
      <x:c r="C64" s="6"/>
      <x:c r="D64" s="6"/>
      <x:c r="E64" s="6"/>
      <x:c r="F64" s="6"/>
      <x:c r="G64" s="6"/>
      <x:c r="H64" s="6"/>
      <x:c r="I64" s="39"/>
      <x:c r="J64" s="6"/>
      <x:c r="K64" s="6"/>
      <x:c r="L64" s="6"/>
      <x:c r="M64" s="6"/>
      <x:c r="N64" s="6"/>
      <x:c r="O64" s="40"/>
      <x:c r="P64" s="6"/>
      <x:c r="Q64" s="33"/>
      <x:c r="R64" s="33"/>
      <x:c r="S64" s="44"/>
      <x:c r="T64" s="45" t="str">
        <x:f>IF(OR(F64="Buy currency",F64="Sell currency"),I64,"")</x:f>
      </x:c>
      <x:c r="U64" s="33"/>
    </x:row>
    <x:row r="65">
      <x:c r="A65" s="6"/>
      <x:c r="B65" s="6"/>
      <x:c r="C65" s="6"/>
      <x:c r="D65" s="6"/>
      <x:c r="E65" s="6"/>
      <x:c r="F65" s="6"/>
      <x:c r="G65" s="6"/>
      <x:c r="H65" s="6"/>
      <x:c r="I65" s="39"/>
      <x:c r="J65" s="6"/>
      <x:c r="K65" s="6"/>
      <x:c r="L65" s="6"/>
      <x:c r="M65" s="6"/>
      <x:c r="N65" s="6"/>
      <x:c r="O65" s="40"/>
      <x:c r="P65" s="6"/>
      <x:c r="Q65" s="33"/>
      <x:c r="R65" s="33"/>
      <x:c r="S65" s="44"/>
      <x:c r="T65" s="45" t="str">
        <x:f>IF(OR(F65="Buy currency",F65="Sell currency"),I65,"")</x:f>
      </x:c>
      <x:c r="U65" s="33"/>
    </x:row>
    <x:row r="66">
      <x:c r="A66" s="6"/>
      <x:c r="B66" s="6"/>
      <x:c r="C66" s="6"/>
      <x:c r="D66" s="6"/>
      <x:c r="E66" s="6"/>
      <x:c r="F66" s="6"/>
      <x:c r="G66" s="6"/>
      <x:c r="H66" s="6"/>
      <x:c r="I66" s="39"/>
      <x:c r="J66" s="6"/>
      <x:c r="K66" s="6"/>
      <x:c r="L66" s="6"/>
      <x:c r="M66" s="6"/>
      <x:c r="N66" s="6"/>
      <x:c r="O66" s="40"/>
      <x:c r="P66" s="6"/>
      <x:c r="Q66" s="33"/>
      <x:c r="R66" s="33"/>
      <x:c r="S66" s="44"/>
      <x:c r="T66" s="45" t="str">
        <x:f>IF(OR(F66="Buy currency",F66="Sell currency"),I66,"")</x:f>
      </x:c>
      <x:c r="U66" s="33"/>
    </x:row>
    <x:row r="67">
      <x:c r="A67" s="6"/>
      <x:c r="B67" s="6"/>
      <x:c r="C67" s="6"/>
      <x:c r="D67" s="6"/>
      <x:c r="E67" s="6"/>
      <x:c r="F67" s="6"/>
      <x:c r="G67" s="6"/>
      <x:c r="H67" s="6"/>
      <x:c r="I67" s="39"/>
      <x:c r="J67" s="6"/>
      <x:c r="K67" s="6"/>
      <x:c r="L67" s="6"/>
      <x:c r="M67" s="6"/>
      <x:c r="N67" s="6"/>
      <x:c r="O67" s="40"/>
      <x:c r="P67" s="6"/>
      <x:c r="Q67" s="33"/>
      <x:c r="R67" s="33"/>
      <x:c r="S67" s="44"/>
      <x:c r="T67" s="45" t="str">
        <x:f>IF(OR(F67="Buy currency",F67="Sell currency"),I67,"")</x:f>
      </x:c>
      <x:c r="U67" s="33"/>
    </x:row>
    <x:row r="68">
      <x:c r="A68" s="6"/>
      <x:c r="B68" s="6"/>
      <x:c r="C68" s="6"/>
      <x:c r="D68" s="6"/>
      <x:c r="E68" s="6"/>
      <x:c r="F68" s="6"/>
      <x:c r="G68" s="6"/>
      <x:c r="H68" s="6"/>
      <x:c r="I68" s="39"/>
      <x:c r="J68" s="6"/>
      <x:c r="K68" s="6"/>
      <x:c r="L68" s="6"/>
      <x:c r="M68" s="6"/>
      <x:c r="N68" s="6"/>
      <x:c r="O68" s="40"/>
      <x:c r="P68" s="6"/>
      <x:c r="Q68" s="33"/>
      <x:c r="R68" s="33"/>
      <x:c r="S68" s="44"/>
      <x:c r="T68" s="45" t="str">
        <x:f>IF(OR(F68="Buy currency",F68="Sell currency"),I68,"")</x:f>
      </x:c>
      <x:c r="U68" s="33"/>
    </x:row>
    <x:row r="69">
      <x:c r="A69" s="6"/>
      <x:c r="B69" s="6"/>
      <x:c r="C69" s="6"/>
      <x:c r="D69" s="6"/>
      <x:c r="E69" s="6"/>
      <x:c r="F69" s="6"/>
      <x:c r="G69" s="6"/>
      <x:c r="H69" s="6"/>
      <x:c r="I69" s="39"/>
      <x:c r="J69" s="6"/>
      <x:c r="K69" s="6"/>
      <x:c r="L69" s="6"/>
      <x:c r="M69" s="6"/>
      <x:c r="N69" s="6"/>
      <x:c r="O69" s="40"/>
      <x:c r="P69" s="6"/>
      <x:c r="Q69" s="33"/>
      <x:c r="R69" s="33"/>
      <x:c r="S69" s="44"/>
      <x:c r="T69" s="45" t="str">
        <x:f>IF(OR(F69="Buy currency",F69="Sell currency"),I69,"")</x:f>
      </x:c>
      <x:c r="U69" s="33"/>
    </x:row>
    <x:row r="70">
      <x:c r="A70" s="6"/>
      <x:c r="B70" s="6"/>
      <x:c r="C70" s="6"/>
      <x:c r="D70" s="6"/>
      <x:c r="E70" s="6"/>
      <x:c r="F70" s="6"/>
      <x:c r="G70" s="6"/>
      <x:c r="H70" s="6"/>
      <x:c r="I70" s="39"/>
      <x:c r="J70" s="6"/>
      <x:c r="K70" s="6"/>
      <x:c r="L70" s="6"/>
      <x:c r="M70" s="6"/>
      <x:c r="N70" s="6"/>
      <x:c r="O70" s="40"/>
      <x:c r="P70" s="6"/>
      <x:c r="Q70" s="33"/>
      <x:c r="R70" s="33"/>
      <x:c r="S70" s="44"/>
      <x:c r="T70" s="45" t="str">
        <x:f>IF(OR(F70="Buy currency",F70="Sell currency"),I70,"")</x:f>
      </x:c>
      <x:c r="U70" s="33"/>
    </x:row>
    <x:row r="71">
      <x:c r="A71" s="6"/>
      <x:c r="B71" s="6"/>
      <x:c r="C71" s="6"/>
      <x:c r="D71" s="6"/>
      <x:c r="E71" s="6"/>
      <x:c r="F71" s="6"/>
      <x:c r="G71" s="6"/>
      <x:c r="H71" s="6"/>
      <x:c r="I71" s="39"/>
      <x:c r="J71" s="6"/>
      <x:c r="K71" s="6"/>
      <x:c r="L71" s="6"/>
      <x:c r="M71" s="6"/>
      <x:c r="N71" s="6"/>
      <x:c r="O71" s="40"/>
      <x:c r="P71" s="6"/>
      <x:c r="Q71" s="33"/>
      <x:c r="R71" s="33"/>
      <x:c r="S71" s="44"/>
      <x:c r="T71" s="45" t="str">
        <x:f>IF(OR(F71="Buy currency",F71="Sell currency"),I71,"")</x:f>
      </x:c>
      <x:c r="U71" s="33"/>
    </x:row>
    <x:row r="72">
      <x:c r="A72" s="6"/>
      <x:c r="B72" s="6"/>
      <x:c r="C72" s="6"/>
      <x:c r="D72" s="6"/>
      <x:c r="E72" s="6"/>
      <x:c r="F72" s="6"/>
      <x:c r="G72" s="6"/>
      <x:c r="H72" s="6"/>
      <x:c r="I72" s="39"/>
      <x:c r="J72" s="6"/>
      <x:c r="K72" s="6"/>
      <x:c r="L72" s="6"/>
      <x:c r="M72" s="6"/>
      <x:c r="N72" s="6"/>
      <x:c r="O72" s="40"/>
      <x:c r="P72" s="6"/>
      <x:c r="Q72" s="33"/>
      <x:c r="R72" s="33"/>
      <x:c r="S72" s="44"/>
      <x:c r="T72" s="45" t="str">
        <x:f>IF(OR(F72="Buy currency",F72="Sell currency"),I72,"")</x:f>
      </x:c>
      <x:c r="U72" s="33"/>
    </x:row>
    <x:row r="73">
      <x:c r="A73" s="6"/>
      <x:c r="B73" s="6"/>
      <x:c r="C73" s="6"/>
      <x:c r="D73" s="6"/>
      <x:c r="E73" s="6"/>
      <x:c r="F73" s="6"/>
      <x:c r="G73" s="6"/>
      <x:c r="H73" s="6"/>
      <x:c r="I73" s="39"/>
      <x:c r="J73" s="6"/>
      <x:c r="K73" s="6"/>
      <x:c r="L73" s="6"/>
      <x:c r="M73" s="6"/>
      <x:c r="N73" s="6"/>
      <x:c r="O73" s="40"/>
      <x:c r="P73" s="6"/>
      <x:c r="Q73" s="33"/>
      <x:c r="R73" s="33"/>
      <x:c r="S73" s="44"/>
      <x:c r="T73" s="45" t="str">
        <x:f>IF(OR(F73="Buy currency",F73="Sell currency"),I73,"")</x:f>
      </x:c>
      <x:c r="U73" s="33"/>
    </x:row>
    <x:row r="74">
      <x:c r="A74" s="6"/>
      <x:c r="B74" s="6"/>
      <x:c r="C74" s="6"/>
      <x:c r="D74" s="6"/>
      <x:c r="E74" s="6"/>
      <x:c r="F74" s="6"/>
      <x:c r="G74" s="6"/>
      <x:c r="H74" s="6"/>
      <x:c r="I74" s="39"/>
      <x:c r="J74" s="6"/>
      <x:c r="K74" s="6"/>
      <x:c r="L74" s="6"/>
      <x:c r="M74" s="6"/>
      <x:c r="N74" s="6"/>
      <x:c r="O74" s="40"/>
      <x:c r="P74" s="6"/>
      <x:c r="Q74" s="33"/>
      <x:c r="R74" s="33"/>
      <x:c r="S74" s="44"/>
      <x:c r="T74" s="45" t="str">
        <x:f>IF(OR(F74="Buy currency",F74="Sell currency"),I74,"")</x:f>
      </x:c>
      <x:c r="U74" s="33"/>
    </x:row>
    <x:row r="75">
      <x:c r="A75" s="6"/>
      <x:c r="B75" s="6"/>
      <x:c r="C75" s="6"/>
      <x:c r="D75" s="6"/>
      <x:c r="E75" s="6"/>
      <x:c r="F75" s="6"/>
      <x:c r="G75" s="6"/>
      <x:c r="H75" s="6"/>
      <x:c r="I75" s="39"/>
      <x:c r="J75" s="6"/>
      <x:c r="K75" s="6"/>
      <x:c r="L75" s="6"/>
      <x:c r="M75" s="6"/>
      <x:c r="N75" s="6"/>
      <x:c r="O75" s="40"/>
      <x:c r="P75" s="6"/>
      <x:c r="Q75" s="33"/>
      <x:c r="R75" s="33"/>
      <x:c r="S75" s="44"/>
      <x:c r="T75" s="45" t="str">
        <x:f>IF(OR(F75="Buy currency",F75="Sell currency"),I75,"")</x:f>
      </x:c>
      <x:c r="U75" s="33"/>
    </x:row>
    <x:row r="76">
      <x:c r="A76" s="6"/>
      <x:c r="B76" s="6"/>
      <x:c r="C76" s="6"/>
      <x:c r="D76" s="6"/>
      <x:c r="E76" s="6"/>
      <x:c r="F76" s="6"/>
      <x:c r="G76" s="6"/>
      <x:c r="H76" s="6"/>
      <x:c r="I76" s="39"/>
      <x:c r="J76" s="6"/>
      <x:c r="K76" s="6"/>
      <x:c r="L76" s="6"/>
      <x:c r="M76" s="6"/>
      <x:c r="N76" s="6"/>
      <x:c r="O76" s="40"/>
      <x:c r="P76" s="6"/>
      <x:c r="Q76" s="33"/>
      <x:c r="R76" s="33"/>
      <x:c r="S76" s="44"/>
      <x:c r="T76" s="45" t="str">
        <x:f>IF(OR(F76="Buy currency",F76="Sell currency"),I76,"")</x:f>
      </x:c>
      <x:c r="U76" s="33"/>
    </x:row>
    <x:row r="77">
      <x:c r="A77" s="6"/>
      <x:c r="B77" s="6"/>
      <x:c r="C77" s="6"/>
      <x:c r="D77" s="6"/>
      <x:c r="E77" s="6"/>
      <x:c r="F77" s="6"/>
      <x:c r="G77" s="6"/>
      <x:c r="H77" s="6"/>
      <x:c r="I77" s="39"/>
      <x:c r="J77" s="6"/>
      <x:c r="K77" s="6"/>
      <x:c r="L77" s="6"/>
      <x:c r="M77" s="6"/>
      <x:c r="N77" s="6"/>
      <x:c r="O77" s="40"/>
      <x:c r="P77" s="6"/>
      <x:c r="Q77" s="33"/>
      <x:c r="R77" s="33"/>
      <x:c r="S77" s="44"/>
      <x:c r="T77" s="45" t="str">
        <x:f>IF(OR(F77="Buy currency",F77="Sell currency"),I77,"")</x:f>
      </x:c>
      <x:c r="U77" s="33"/>
    </x:row>
    <x:row r="78">
      <x:c r="A78" s="6"/>
      <x:c r="B78" s="6"/>
      <x:c r="C78" s="6"/>
      <x:c r="D78" s="6"/>
      <x:c r="E78" s="6"/>
      <x:c r="F78" s="6"/>
      <x:c r="G78" s="6"/>
      <x:c r="H78" s="6"/>
      <x:c r="I78" s="39"/>
      <x:c r="J78" s="6"/>
      <x:c r="K78" s="6"/>
      <x:c r="L78" s="6"/>
      <x:c r="M78" s="6"/>
      <x:c r="N78" s="6"/>
      <x:c r="O78" s="40"/>
      <x:c r="P78" s="6"/>
      <x:c r="Q78" s="33"/>
      <x:c r="R78" s="33"/>
      <x:c r="S78" s="44"/>
      <x:c r="T78" s="45" t="str">
        <x:f>IF(OR(F78="Buy currency",F78="Sell currency"),I78,"")</x:f>
      </x:c>
      <x:c r="U78" s="33"/>
    </x:row>
    <x:row r="79">
      <x:c r="A79" s="6"/>
      <x:c r="B79" s="6"/>
      <x:c r="C79" s="6"/>
      <x:c r="D79" s="6"/>
      <x:c r="E79" s="6"/>
      <x:c r="F79" s="6"/>
      <x:c r="G79" s="6"/>
      <x:c r="H79" s="6"/>
      <x:c r="I79" s="39"/>
      <x:c r="J79" s="6"/>
      <x:c r="K79" s="6"/>
      <x:c r="L79" s="6"/>
      <x:c r="M79" s="6"/>
      <x:c r="N79" s="6"/>
      <x:c r="O79" s="40"/>
      <x:c r="P79" s="6"/>
      <x:c r="Q79" s="33"/>
      <x:c r="R79" s="33"/>
      <x:c r="S79" s="44"/>
      <x:c r="T79" s="45" t="str">
        <x:f>IF(OR(F79="Buy currency",F79="Sell currency"),I79,"")</x:f>
      </x:c>
      <x:c r="U79" s="33"/>
    </x:row>
    <x:row r="80">
      <x:c r="A80" s="6"/>
      <x:c r="B80" s="6"/>
      <x:c r="C80" s="6"/>
      <x:c r="D80" s="6"/>
      <x:c r="E80" s="6"/>
      <x:c r="F80" s="6"/>
      <x:c r="G80" s="6"/>
      <x:c r="H80" s="6"/>
      <x:c r="I80" s="39"/>
      <x:c r="J80" s="6"/>
      <x:c r="K80" s="6"/>
      <x:c r="L80" s="6"/>
      <x:c r="M80" s="6"/>
      <x:c r="N80" s="6"/>
      <x:c r="O80" s="40"/>
      <x:c r="P80" s="6"/>
      <x:c r="Q80" s="33"/>
      <x:c r="R80" s="33"/>
      <x:c r="S80" s="44"/>
      <x:c r="T80" s="45" t="str">
        <x:f>IF(OR(F80="Buy currency",F80="Sell currency"),I80,"")</x:f>
      </x:c>
      <x:c r="U80" s="33"/>
    </x:row>
    <x:row r="81">
      <x:c r="A81" s="6"/>
      <x:c r="B81" s="6"/>
      <x:c r="C81" s="6"/>
      <x:c r="D81" s="6"/>
      <x:c r="E81" s="6"/>
      <x:c r="F81" s="6"/>
      <x:c r="G81" s="6"/>
      <x:c r="H81" s="6"/>
      <x:c r="I81" s="39"/>
      <x:c r="J81" s="6"/>
      <x:c r="K81" s="6"/>
      <x:c r="L81" s="6"/>
      <x:c r="M81" s="6"/>
      <x:c r="N81" s="6"/>
      <x:c r="O81" s="40"/>
      <x:c r="P81" s="6"/>
      <x:c r="Q81" s="33"/>
      <x:c r="R81" s="33"/>
      <x:c r="S81" s="44"/>
      <x:c r="T81" s="45" t="str">
        <x:f>IF(OR(F81="Buy currency",F81="Sell currency"),I81,"")</x:f>
      </x:c>
      <x:c r="U81" s="33"/>
    </x:row>
    <x:row r="82">
      <x:c r="A82" s="6"/>
      <x:c r="B82" s="6"/>
      <x:c r="C82" s="6"/>
      <x:c r="D82" s="6"/>
      <x:c r="E82" s="6"/>
      <x:c r="F82" s="6"/>
      <x:c r="G82" s="6"/>
      <x:c r="H82" s="6"/>
      <x:c r="I82" s="39"/>
      <x:c r="J82" s="6"/>
      <x:c r="K82" s="6"/>
      <x:c r="L82" s="6"/>
      <x:c r="M82" s="6"/>
      <x:c r="N82" s="6"/>
      <x:c r="O82" s="40"/>
      <x:c r="P82" s="6"/>
      <x:c r="Q82" s="33"/>
      <x:c r="R82" s="33"/>
      <x:c r="S82" s="44"/>
      <x:c r="T82" s="45" t="str">
        <x:f>IF(OR(F82="Buy currency",F82="Sell currency"),I82,"")</x:f>
      </x:c>
      <x:c r="U82" s="33"/>
    </x:row>
    <x:row r="83">
      <x:c r="A83" s="6"/>
      <x:c r="B83" s="6"/>
      <x:c r="C83" s="6"/>
      <x:c r="D83" s="6"/>
      <x:c r="E83" s="6"/>
      <x:c r="F83" s="6"/>
      <x:c r="G83" s="6"/>
      <x:c r="H83" s="6"/>
      <x:c r="I83" s="39"/>
      <x:c r="J83" s="6"/>
      <x:c r="K83" s="6"/>
      <x:c r="L83" s="6"/>
      <x:c r="M83" s="6"/>
      <x:c r="N83" s="6"/>
      <x:c r="O83" s="40"/>
      <x:c r="P83" s="6"/>
      <x:c r="Q83" s="33"/>
      <x:c r="R83" s="33"/>
      <x:c r="S83" s="44"/>
      <x:c r="T83" s="45" t="str">
        <x:f>IF(OR(F83="Buy currency",F83="Sell currency"),I83,"")</x:f>
      </x:c>
      <x:c r="U83" s="33"/>
    </x:row>
    <x:row r="84">
      <x:c r="A84" s="6"/>
      <x:c r="B84" s="6"/>
      <x:c r="C84" s="6"/>
      <x:c r="D84" s="6"/>
      <x:c r="E84" s="6"/>
      <x:c r="F84" s="6"/>
      <x:c r="G84" s="6"/>
      <x:c r="H84" s="6"/>
      <x:c r="I84" s="39"/>
      <x:c r="J84" s="6"/>
      <x:c r="K84" s="6"/>
      <x:c r="L84" s="6"/>
      <x:c r="M84" s="6"/>
      <x:c r="N84" s="6"/>
      <x:c r="O84" s="40"/>
      <x:c r="P84" s="6"/>
      <x:c r="Q84" s="33"/>
      <x:c r="R84" s="33"/>
      <x:c r="S84" s="44"/>
      <x:c r="T84" s="45" t="str">
        <x:f>IF(OR(F84="Buy currency",F84="Sell currency"),I84,"")</x:f>
      </x:c>
      <x:c r="U84" s="33"/>
    </x:row>
    <x:row r="85">
      <x:c r="A85" s="6"/>
      <x:c r="B85" s="6"/>
      <x:c r="C85" s="6"/>
      <x:c r="D85" s="6"/>
      <x:c r="E85" s="6"/>
      <x:c r="F85" s="6"/>
      <x:c r="G85" s="6"/>
      <x:c r="H85" s="6"/>
      <x:c r="I85" s="39"/>
      <x:c r="J85" s="6"/>
      <x:c r="K85" s="6"/>
      <x:c r="L85" s="6"/>
      <x:c r="M85" s="6"/>
      <x:c r="N85" s="6"/>
      <x:c r="O85" s="40"/>
      <x:c r="P85" s="6"/>
      <x:c r="Q85" s="33"/>
      <x:c r="R85" s="33"/>
      <x:c r="S85" s="44"/>
      <x:c r="T85" s="45" t="str">
        <x:f>IF(OR(F85="Buy currency",F85="Sell currency"),I85,"")</x:f>
      </x:c>
      <x:c r="U85" s="33"/>
    </x:row>
    <x:row r="86">
      <x:c r="A86" s="6"/>
      <x:c r="B86" s="6"/>
      <x:c r="C86" s="6"/>
      <x:c r="D86" s="6"/>
      <x:c r="E86" s="6"/>
      <x:c r="F86" s="6"/>
      <x:c r="G86" s="6"/>
      <x:c r="H86" s="6"/>
      <x:c r="I86" s="39"/>
      <x:c r="J86" s="6"/>
      <x:c r="K86" s="6"/>
      <x:c r="L86" s="6"/>
      <x:c r="M86" s="6"/>
      <x:c r="N86" s="6"/>
      <x:c r="O86" s="40"/>
      <x:c r="P86" s="6"/>
      <x:c r="Q86" s="33"/>
      <x:c r="R86" s="33"/>
      <x:c r="S86" s="44"/>
      <x:c r="T86" s="45" t="str">
        <x:f>IF(OR(F86="Buy currency",F86="Sell currency"),I86,"")</x:f>
      </x:c>
      <x:c r="U86" s="33"/>
    </x:row>
    <x:row r="87">
      <x:c r="A87" s="6"/>
      <x:c r="B87" s="6"/>
      <x:c r="C87" s="6"/>
      <x:c r="D87" s="6"/>
      <x:c r="E87" s="6"/>
      <x:c r="F87" s="6"/>
      <x:c r="G87" s="6"/>
      <x:c r="H87" s="6"/>
      <x:c r="I87" s="39"/>
      <x:c r="J87" s="6"/>
      <x:c r="K87" s="6"/>
      <x:c r="L87" s="6"/>
      <x:c r="M87" s="6"/>
      <x:c r="N87" s="6"/>
      <x:c r="O87" s="40"/>
      <x:c r="P87" s="6"/>
      <x:c r="Q87" s="33"/>
      <x:c r="R87" s="33"/>
      <x:c r="S87" s="44"/>
      <x:c r="T87" s="45" t="str">
        <x:f>IF(OR(F87="Buy currency",F87="Sell currency"),I87,"")</x:f>
      </x:c>
      <x:c r="U87" s="33"/>
    </x:row>
    <x:row r="88">
      <x:c r="A88" s="6"/>
      <x:c r="B88" s="6"/>
      <x:c r="C88" s="6"/>
      <x:c r="D88" s="6"/>
      <x:c r="E88" s="6"/>
      <x:c r="F88" s="6"/>
      <x:c r="G88" s="6"/>
      <x:c r="H88" s="6"/>
      <x:c r="I88" s="39"/>
      <x:c r="J88" s="6"/>
      <x:c r="K88" s="6"/>
      <x:c r="L88" s="6"/>
      <x:c r="M88" s="6"/>
      <x:c r="N88" s="6"/>
      <x:c r="O88" s="40"/>
      <x:c r="P88" s="6"/>
      <x:c r="Q88" s="33"/>
      <x:c r="R88" s="33"/>
      <x:c r="S88" s="44"/>
      <x:c r="T88" s="45" t="str">
        <x:f>IF(OR(F88="Buy currency",F88="Sell currency"),I88,"")</x:f>
      </x:c>
      <x:c r="U88" s="33"/>
    </x:row>
    <x:row r="89">
      <x:c r="A89" s="6"/>
      <x:c r="B89" s="6"/>
      <x:c r="C89" s="6"/>
      <x:c r="D89" s="6"/>
      <x:c r="E89" s="6"/>
      <x:c r="F89" s="6"/>
      <x:c r="G89" s="6"/>
      <x:c r="H89" s="6"/>
      <x:c r="I89" s="39"/>
      <x:c r="J89" s="6"/>
      <x:c r="K89" s="6"/>
      <x:c r="L89" s="6"/>
      <x:c r="M89" s="6"/>
      <x:c r="N89" s="6"/>
      <x:c r="O89" s="40"/>
      <x:c r="P89" s="6"/>
      <x:c r="Q89" s="33"/>
      <x:c r="R89" s="33"/>
      <x:c r="S89" s="44"/>
      <x:c r="T89" s="45" t="str">
        <x:f>IF(OR(F89="Buy currency",F89="Sell currency"),I89,"")</x:f>
      </x:c>
      <x:c r="U89" s="33"/>
    </x:row>
    <x:row r="90">
      <x:c r="A90" s="6"/>
      <x:c r="B90" s="6"/>
      <x:c r="C90" s="6"/>
      <x:c r="D90" s="6"/>
      <x:c r="E90" s="6"/>
      <x:c r="F90" s="6"/>
      <x:c r="G90" s="6"/>
      <x:c r="H90" s="6"/>
      <x:c r="I90" s="39"/>
      <x:c r="J90" s="6"/>
      <x:c r="K90" s="6"/>
      <x:c r="L90" s="6"/>
      <x:c r="M90" s="6"/>
      <x:c r="N90" s="6"/>
      <x:c r="O90" s="40"/>
      <x:c r="P90" s="6"/>
      <x:c r="Q90" s="33"/>
      <x:c r="R90" s="33"/>
      <x:c r="S90" s="44"/>
      <x:c r="T90" s="45" t="str">
        <x:f>IF(OR(F90="Buy currency",F90="Sell currency"),I90,"")</x:f>
      </x:c>
      <x:c r="U90" s="33"/>
    </x:row>
    <x:row r="91">
      <x:c r="A91" s="6"/>
      <x:c r="B91" s="6"/>
      <x:c r="C91" s="6"/>
      <x:c r="D91" s="6"/>
      <x:c r="E91" s="6"/>
      <x:c r="F91" s="6"/>
      <x:c r="G91" s="6"/>
      <x:c r="H91" s="6"/>
      <x:c r="I91" s="39"/>
      <x:c r="J91" s="6"/>
      <x:c r="K91" s="6"/>
      <x:c r="L91" s="6"/>
      <x:c r="M91" s="6"/>
      <x:c r="N91" s="6"/>
      <x:c r="O91" s="40"/>
      <x:c r="P91" s="6"/>
      <x:c r="Q91" s="33"/>
      <x:c r="R91" s="33"/>
      <x:c r="S91" s="44"/>
      <x:c r="T91" s="45" t="str">
        <x:f>IF(OR(F91="Buy currency",F91="Sell currency"),I91,"")</x:f>
      </x:c>
      <x:c r="U91" s="33"/>
    </x:row>
    <x:row r="92">
      <x:c r="A92" s="6"/>
      <x:c r="B92" s="6"/>
      <x:c r="C92" s="6"/>
      <x:c r="D92" s="6"/>
      <x:c r="E92" s="6"/>
      <x:c r="F92" s="6"/>
      <x:c r="G92" s="6"/>
      <x:c r="H92" s="6"/>
      <x:c r="I92" s="39"/>
      <x:c r="J92" s="6"/>
      <x:c r="K92" s="6"/>
      <x:c r="L92" s="6"/>
      <x:c r="M92" s="6"/>
      <x:c r="N92" s="6"/>
      <x:c r="O92" s="40"/>
      <x:c r="P92" s="6"/>
      <x:c r="Q92" s="33"/>
      <x:c r="R92" s="33"/>
      <x:c r="S92" s="44"/>
      <x:c r="T92" s="45" t="str">
        <x:f>IF(OR(F92="Buy currency",F92="Sell currency"),I92,"")</x:f>
      </x:c>
      <x:c r="U92" s="33"/>
    </x:row>
    <x:row r="93">
      <x:c r="A93" s="6"/>
      <x:c r="B93" s="6"/>
      <x:c r="C93" s="6"/>
      <x:c r="D93" s="6"/>
      <x:c r="E93" s="6"/>
      <x:c r="F93" s="6"/>
      <x:c r="G93" s="6"/>
      <x:c r="H93" s="6"/>
      <x:c r="I93" s="39"/>
      <x:c r="J93" s="6"/>
      <x:c r="K93" s="6"/>
      <x:c r="L93" s="6"/>
      <x:c r="M93" s="6"/>
      <x:c r="N93" s="6"/>
      <x:c r="O93" s="40"/>
      <x:c r="P93" s="6"/>
      <x:c r="Q93" s="33"/>
      <x:c r="R93" s="33"/>
      <x:c r="S93" s="44"/>
      <x:c r="T93" s="45" t="str">
        <x:f>IF(OR(F93="Buy currency",F93="Sell currency"),I93,"")</x:f>
      </x:c>
      <x:c r="U93" s="33"/>
    </x:row>
    <x:row r="94">
      <x:c r="A94" s="6"/>
      <x:c r="B94" s="6"/>
      <x:c r="C94" s="6"/>
      <x:c r="D94" s="6"/>
      <x:c r="E94" s="6"/>
      <x:c r="F94" s="6"/>
      <x:c r="G94" s="6"/>
      <x:c r="H94" s="6"/>
      <x:c r="I94" s="39"/>
      <x:c r="J94" s="6"/>
      <x:c r="K94" s="6"/>
      <x:c r="L94" s="6"/>
      <x:c r="M94" s="6"/>
      <x:c r="N94" s="6"/>
      <x:c r="O94" s="40"/>
      <x:c r="P94" s="6"/>
      <x:c r="Q94" s="33"/>
      <x:c r="R94" s="33"/>
      <x:c r="S94" s="44"/>
      <x:c r="T94" s="45" t="str">
        <x:f>IF(OR(F94="Buy currency",F94="Sell currency"),I94,"")</x:f>
      </x:c>
      <x:c r="U94" s="33"/>
    </x:row>
    <x:row r="95">
      <x:c r="A95" s="6"/>
      <x:c r="B95" s="6"/>
      <x:c r="C95" s="6"/>
      <x:c r="D95" s="6"/>
      <x:c r="E95" s="6"/>
      <x:c r="F95" s="6"/>
      <x:c r="G95" s="6"/>
      <x:c r="H95" s="6"/>
      <x:c r="I95" s="39"/>
      <x:c r="J95" s="6"/>
      <x:c r="K95" s="6"/>
      <x:c r="L95" s="6"/>
      <x:c r="M95" s="6"/>
      <x:c r="N95" s="6"/>
      <x:c r="O95" s="40"/>
      <x:c r="P95" s="6"/>
      <x:c r="Q95" s="33"/>
      <x:c r="R95" s="33"/>
      <x:c r="S95" s="44"/>
      <x:c r="T95" s="45" t="str">
        <x:f>IF(OR(F95="Buy currency",F95="Sell currency"),I95,"")</x:f>
      </x:c>
      <x:c r="U95" s="33"/>
    </x:row>
    <x:row r="96">
      <x:c r="A96" s="6"/>
      <x:c r="B96" s="6"/>
      <x:c r="C96" s="6"/>
      <x:c r="D96" s="6"/>
      <x:c r="E96" s="6"/>
      <x:c r="F96" s="6"/>
      <x:c r="G96" s="6"/>
      <x:c r="H96" s="6"/>
      <x:c r="I96" s="39"/>
      <x:c r="J96" s="6"/>
      <x:c r="K96" s="6"/>
      <x:c r="L96" s="6"/>
      <x:c r="M96" s="6"/>
      <x:c r="N96" s="6"/>
      <x:c r="O96" s="40"/>
      <x:c r="P96" s="6"/>
      <x:c r="Q96" s="33"/>
      <x:c r="R96" s="33"/>
      <x:c r="S96" s="44"/>
      <x:c r="T96" s="45" t="str">
        <x:f>IF(OR(F96="Buy currency",F96="Sell currency"),I96,"")</x:f>
      </x:c>
      <x:c r="U96" s="33"/>
    </x:row>
    <x:row r="97">
      <x:c r="A97" s="6"/>
      <x:c r="B97" s="6"/>
      <x:c r="C97" s="6"/>
      <x:c r="D97" s="6"/>
      <x:c r="E97" s="6"/>
      <x:c r="F97" s="6"/>
      <x:c r="G97" s="6"/>
      <x:c r="H97" s="6"/>
      <x:c r="I97" s="39"/>
      <x:c r="J97" s="6"/>
      <x:c r="K97" s="6"/>
      <x:c r="L97" s="6"/>
      <x:c r="M97" s="6"/>
      <x:c r="N97" s="6"/>
      <x:c r="O97" s="40"/>
      <x:c r="P97" s="6"/>
      <x:c r="Q97" s="33"/>
      <x:c r="R97" s="33"/>
      <x:c r="S97" s="44"/>
      <x:c r="T97" s="45" t="str">
        <x:f>IF(OR(F97="Buy currency",F97="Sell currency"),I97,"")</x:f>
      </x:c>
      <x:c r="U97" s="33"/>
    </x:row>
    <x:row r="98">
      <x:c r="A98" s="6"/>
      <x:c r="B98" s="6"/>
      <x:c r="C98" s="6"/>
      <x:c r="D98" s="6"/>
      <x:c r="E98" s="6"/>
      <x:c r="F98" s="6"/>
      <x:c r="G98" s="6"/>
      <x:c r="H98" s="6"/>
      <x:c r="I98" s="39"/>
      <x:c r="J98" s="6"/>
      <x:c r="K98" s="6"/>
      <x:c r="L98" s="6"/>
      <x:c r="M98" s="6"/>
      <x:c r="N98" s="6"/>
      <x:c r="O98" s="40"/>
      <x:c r="P98" s="6"/>
      <x:c r="Q98" s="33"/>
      <x:c r="R98" s="33"/>
      <x:c r="S98" s="44"/>
      <x:c r="T98" s="45" t="str">
        <x:f>IF(OR(F98="Buy currency",F98="Sell currency"),I98,"")</x:f>
      </x:c>
      <x:c r="U98" s="33"/>
    </x:row>
    <x:row r="99">
      <x:c r="A99" s="6"/>
      <x:c r="B99" s="6"/>
      <x:c r="C99" s="6"/>
      <x:c r="D99" s="6"/>
      <x:c r="E99" s="6"/>
      <x:c r="F99" s="6"/>
      <x:c r="G99" s="6"/>
      <x:c r="H99" s="6"/>
      <x:c r="I99" s="39"/>
      <x:c r="J99" s="6"/>
      <x:c r="K99" s="6"/>
      <x:c r="L99" s="6"/>
      <x:c r="M99" s="6"/>
      <x:c r="N99" s="6"/>
      <x:c r="O99" s="40"/>
      <x:c r="P99" s="6"/>
      <x:c r="Q99" s="33"/>
      <x:c r="R99" s="33"/>
      <x:c r="S99" s="44"/>
      <x:c r="T99" s="45" t="str">
        <x:f>IF(OR(F99="Buy currency",F99="Sell currency"),I99,"")</x:f>
      </x:c>
      <x:c r="U99" s="33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39"/>
      <x:c r="J100" s="6"/>
      <x:c r="K100" s="6"/>
      <x:c r="L100" s="6"/>
      <x:c r="M100" s="6"/>
      <x:c r="N100" s="6"/>
      <x:c r="O100" s="40"/>
      <x:c r="P100" s="6"/>
      <x:c r="Q100" s="33"/>
      <x:c r="R100" s="33"/>
      <x:c r="S100" s="44"/>
      <x:c r="T100" s="45" t="str">
        <x:f>IF(OR(F100="Buy currency",F100="Sell currency"),I100,"")</x:f>
      </x:c>
      <x:c r="U100" s="33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39"/>
      <x:c r="J101" s="6"/>
      <x:c r="K101" s="6"/>
      <x:c r="L101" s="6"/>
      <x:c r="M101" s="6"/>
      <x:c r="N101" s="6"/>
      <x:c r="O101" s="40"/>
      <x:c r="P101" s="6"/>
      <x:c r="Q101" s="33"/>
      <x:c r="R101" s="33"/>
      <x:c r="S101" s="44"/>
      <x:c r="T101" s="45" t="str">
        <x:f>IF(OR(F101="Buy currency",F101="Sell currency"),I101,"")</x:f>
      </x:c>
      <x:c r="U101" s="33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39"/>
      <x:c r="J102" s="6"/>
      <x:c r="K102" s="6"/>
      <x:c r="L102" s="6"/>
      <x:c r="M102" s="6"/>
      <x:c r="N102" s="6"/>
      <x:c r="O102" s="40"/>
      <x:c r="P102" s="6"/>
      <x:c r="Q102" s="33"/>
      <x:c r="R102" s="33"/>
      <x:c r="S102" s="44"/>
      <x:c r="T102" s="45" t="str">
        <x:f>IF(OR(F102="Buy currency",F102="Sell currency"),I102,"")</x:f>
      </x:c>
      <x:c r="U102" s="33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39"/>
      <x:c r="J103" s="6"/>
      <x:c r="K103" s="6"/>
      <x:c r="L103" s="6"/>
      <x:c r="M103" s="6"/>
      <x:c r="N103" s="6"/>
      <x:c r="O103" s="40"/>
      <x:c r="P103" s="6"/>
      <x:c r="Q103" s="33"/>
      <x:c r="R103" s="33"/>
      <x:c r="S103" s="44"/>
      <x:c r="T103" s="45" t="str">
        <x:f>IF(OR(F103="Buy currency",F103="Sell currency"),I103,"")</x:f>
      </x:c>
      <x:c r="U103" s="33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39"/>
      <x:c r="J104" s="6"/>
      <x:c r="K104" s="6"/>
      <x:c r="L104" s="6"/>
      <x:c r="M104" s="6"/>
      <x:c r="N104" s="6"/>
      <x:c r="O104" s="40"/>
      <x:c r="P104" s="6"/>
      <x:c r="Q104" s="33"/>
      <x:c r="R104" s="33"/>
      <x:c r="S104" s="44"/>
      <x:c r="T104" s="45" t="str">
        <x:f>IF(OR(F104="Buy currency",F104="Sell currency"),I104,"")</x:f>
      </x:c>
      <x:c r="U104" s="33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39"/>
      <x:c r="J105" s="6"/>
      <x:c r="K105" s="6"/>
      <x:c r="L105" s="6"/>
      <x:c r="M105" s="6"/>
      <x:c r="N105" s="6"/>
      <x:c r="O105" s="40"/>
      <x:c r="P105" s="6"/>
      <x:c r="Q105" s="33"/>
      <x:c r="R105" s="33"/>
      <x:c r="S105" s="44"/>
      <x:c r="T105" s="45" t="str">
        <x:f>IF(OR(F105="Buy currency",F105="Sell currency"),I105,"")</x:f>
      </x:c>
      <x:c r="U105" s="33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39"/>
      <x:c r="J106" s="6"/>
      <x:c r="K106" s="6"/>
      <x:c r="L106" s="6"/>
      <x:c r="M106" s="6"/>
      <x:c r="N106" s="6"/>
      <x:c r="O106" s="40"/>
      <x:c r="P106" s="6"/>
      <x:c r="Q106" s="33"/>
      <x:c r="R106" s="33"/>
      <x:c r="S106" s="44"/>
      <x:c r="T106" s="45" t="str">
        <x:f>IF(OR(F106="Buy currency",F106="Sell currency"),I106,"")</x:f>
      </x:c>
      <x:c r="U106" s="33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39"/>
      <x:c r="J107" s="6"/>
      <x:c r="K107" s="6"/>
      <x:c r="L107" s="6"/>
      <x:c r="M107" s="6"/>
      <x:c r="N107" s="6"/>
      <x:c r="O107" s="40"/>
      <x:c r="P107" s="6"/>
      <x:c r="Q107" s="33"/>
      <x:c r="R107" s="33"/>
      <x:c r="S107" s="44"/>
      <x:c r="T107" s="45" t="str">
        <x:f>IF(OR(F107="Buy currency",F107="Sell currency"),I107,"")</x:f>
      </x:c>
      <x:c r="U107" s="33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39"/>
      <x:c r="J108" s="6"/>
      <x:c r="K108" s="6"/>
      <x:c r="L108" s="6"/>
      <x:c r="M108" s="6"/>
      <x:c r="N108" s="6"/>
      <x:c r="O108" s="40"/>
      <x:c r="P108" s="6"/>
      <x:c r="Q108" s="33"/>
      <x:c r="R108" s="33"/>
      <x:c r="S108" s="44"/>
      <x:c r="T108" s="45" t="str">
        <x:f>IF(OR(F108="Buy currency",F108="Sell currency"),I108,"")</x:f>
      </x:c>
      <x:c r="U108" s="33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39"/>
      <x:c r="J109" s="6"/>
      <x:c r="K109" s="6"/>
      <x:c r="L109" s="6"/>
      <x:c r="M109" s="6"/>
      <x:c r="N109" s="6"/>
      <x:c r="O109" s="40"/>
      <x:c r="P109" s="6"/>
      <x:c r="Q109" s="33"/>
      <x:c r="R109" s="33"/>
      <x:c r="S109" s="44"/>
      <x:c r="T109" s="45" t="str">
        <x:f>IF(OR(F109="Buy currency",F109="Sell currency"),I109,"")</x:f>
      </x:c>
      <x:c r="U109" s="33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39"/>
      <x:c r="J110" s="6"/>
      <x:c r="K110" s="6"/>
      <x:c r="L110" s="6"/>
      <x:c r="M110" s="6"/>
      <x:c r="N110" s="6"/>
      <x:c r="O110" s="40"/>
      <x:c r="P110" s="6"/>
      <x:c r="Q110" s="33"/>
      <x:c r="R110" s="33"/>
      <x:c r="S110" s="44"/>
      <x:c r="T110" s="45" t="str">
        <x:f>IF(OR(F110="Buy currency",F110="Sell currency"),I110,"")</x:f>
      </x:c>
      <x:c r="U110" s="33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39"/>
      <x:c r="J111" s="6"/>
      <x:c r="K111" s="6"/>
      <x:c r="L111" s="6"/>
      <x:c r="M111" s="6"/>
      <x:c r="N111" s="6"/>
      <x:c r="O111" s="40"/>
      <x:c r="P111" s="6"/>
      <x:c r="Q111" s="33"/>
      <x:c r="R111" s="33"/>
      <x:c r="S111" s="44"/>
      <x:c r="T111" s="45" t="str">
        <x:f>IF(OR(F111="Buy currency",F111="Sell currency"),I111,"")</x:f>
      </x:c>
      <x:c r="U111" s="33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39"/>
      <x:c r="J112" s="6"/>
      <x:c r="K112" s="6"/>
      <x:c r="L112" s="6"/>
      <x:c r="M112" s="6"/>
      <x:c r="N112" s="6"/>
      <x:c r="O112" s="40"/>
      <x:c r="P112" s="6"/>
      <x:c r="Q112" s="33"/>
      <x:c r="R112" s="33"/>
      <x:c r="S112" s="44"/>
      <x:c r="T112" s="45" t="str">
        <x:f>IF(OR(F112="Buy currency",F112="Sell currency"),I112,"")</x:f>
      </x:c>
      <x:c r="U112" s="33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39"/>
      <x:c r="J113" s="6"/>
      <x:c r="K113" s="6"/>
      <x:c r="L113" s="6"/>
      <x:c r="M113" s="6"/>
      <x:c r="N113" s="6"/>
      <x:c r="O113" s="40"/>
      <x:c r="P113" s="6"/>
      <x:c r="Q113" s="33"/>
      <x:c r="R113" s="33"/>
      <x:c r="S113" s="44"/>
      <x:c r="T113" s="45" t="str">
        <x:f>IF(OR(F113="Buy currency",F113="Sell currency"),I113,"")</x:f>
      </x:c>
      <x:c r="U113" s="33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39"/>
      <x:c r="J114" s="6"/>
      <x:c r="K114" s="6"/>
      <x:c r="L114" s="6"/>
      <x:c r="M114" s="6"/>
      <x:c r="N114" s="6"/>
      <x:c r="O114" s="40"/>
      <x:c r="P114" s="6"/>
      <x:c r="Q114" s="33"/>
      <x:c r="R114" s="33"/>
      <x:c r="S114" s="44"/>
      <x:c r="T114" s="45" t="str">
        <x:f>IF(OR(F114="Buy currency",F114="Sell currency"),I114,"")</x:f>
      </x:c>
      <x:c r="U114" s="33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39"/>
      <x:c r="J115" s="6"/>
      <x:c r="K115" s="6"/>
      <x:c r="L115" s="6"/>
      <x:c r="M115" s="6"/>
      <x:c r="N115" s="6"/>
      <x:c r="O115" s="40"/>
      <x:c r="P115" s="6"/>
      <x:c r="Q115" s="33"/>
      <x:c r="R115" s="33"/>
      <x:c r="S115" s="44"/>
      <x:c r="T115" s="45" t="str">
        <x:f>IF(OR(F115="Buy currency",F115="Sell currency"),I115,"")</x:f>
      </x:c>
      <x:c r="U115" s="33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39"/>
      <x:c r="J116" s="6"/>
      <x:c r="K116" s="6"/>
      <x:c r="L116" s="6"/>
      <x:c r="M116" s="6"/>
      <x:c r="N116" s="6"/>
      <x:c r="O116" s="40"/>
      <x:c r="P116" s="6"/>
      <x:c r="Q116" s="33"/>
      <x:c r="R116" s="33"/>
      <x:c r="S116" s="44"/>
      <x:c r="T116" s="45" t="str">
        <x:f>IF(OR(F116="Buy currency",F116="Sell currency"),I116,"")</x:f>
      </x:c>
      <x:c r="U116" s="33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39"/>
      <x:c r="J117" s="6"/>
      <x:c r="K117" s="6"/>
      <x:c r="L117" s="6"/>
      <x:c r="M117" s="6"/>
      <x:c r="N117" s="6"/>
      <x:c r="O117" s="40"/>
      <x:c r="P117" s="6"/>
      <x:c r="Q117" s="33"/>
      <x:c r="R117" s="33"/>
      <x:c r="S117" s="44"/>
      <x:c r="T117" s="45" t="str">
        <x:f>IF(OR(F117="Buy currency",F117="Sell currency"),I117,"")</x:f>
      </x:c>
      <x:c r="U117" s="33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39"/>
      <x:c r="J118" s="6"/>
      <x:c r="K118" s="6"/>
      <x:c r="L118" s="6"/>
      <x:c r="M118" s="6"/>
      <x:c r="N118" s="6"/>
      <x:c r="O118" s="40"/>
      <x:c r="P118" s="6"/>
      <x:c r="Q118" s="33"/>
      <x:c r="R118" s="33"/>
      <x:c r="S118" s="44"/>
      <x:c r="T118" s="45" t="str">
        <x:f>IF(OR(F118="Buy currency",F118="Sell currency"),I118,"")</x:f>
      </x:c>
      <x:c r="U118" s="33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39"/>
      <x:c r="J119" s="6"/>
      <x:c r="K119" s="6"/>
      <x:c r="L119" s="6"/>
      <x:c r="M119" s="6"/>
      <x:c r="N119" s="6"/>
      <x:c r="O119" s="40"/>
      <x:c r="P119" s="6"/>
      <x:c r="Q119" s="33"/>
      <x:c r="R119" s="33"/>
      <x:c r="S119" s="44"/>
      <x:c r="T119" s="45" t="str">
        <x:f>IF(OR(F119="Buy currency",F119="Sell currency"),I119,"")</x:f>
      </x:c>
      <x:c r="U119" s="33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39"/>
      <x:c r="J120" s="6"/>
      <x:c r="K120" s="6"/>
      <x:c r="L120" s="6"/>
      <x:c r="M120" s="6"/>
      <x:c r="N120" s="6"/>
      <x:c r="O120" s="40"/>
      <x:c r="P120" s="6"/>
      <x:c r="Q120" s="33"/>
      <x:c r="R120" s="33"/>
      <x:c r="S120" s="44"/>
      <x:c r="T120" s="45" t="str">
        <x:f>IF(OR(F120="Buy currency",F120="Sell currency"),I120,"")</x:f>
      </x:c>
      <x:c r="U120" s="33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39"/>
      <x:c r="J121" s="6"/>
      <x:c r="K121" s="6"/>
      <x:c r="L121" s="6"/>
      <x:c r="M121" s="6"/>
      <x:c r="N121" s="6"/>
      <x:c r="O121" s="40"/>
      <x:c r="P121" s="6"/>
      <x:c r="Q121" s="33"/>
      <x:c r="R121" s="33"/>
      <x:c r="S121" s="44"/>
      <x:c r="T121" s="45" t="str">
        <x:f>IF(OR(F121="Buy currency",F121="Sell currency"),I121,"")</x:f>
      </x:c>
      <x:c r="U121" s="33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39"/>
      <x:c r="J122" s="6"/>
      <x:c r="K122" s="6"/>
      <x:c r="L122" s="6"/>
      <x:c r="M122" s="6"/>
      <x:c r="N122" s="6"/>
      <x:c r="O122" s="40"/>
      <x:c r="P122" s="6"/>
      <x:c r="Q122" s="33"/>
      <x:c r="R122" s="33"/>
      <x:c r="S122" s="44"/>
      <x:c r="T122" s="45" t="str">
        <x:f>IF(OR(F122="Buy currency",F122="Sell currency"),I122,"")</x:f>
      </x:c>
      <x:c r="U122" s="33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39"/>
      <x:c r="J123" s="6"/>
      <x:c r="K123" s="6"/>
      <x:c r="L123" s="6"/>
      <x:c r="M123" s="6"/>
      <x:c r="N123" s="6"/>
      <x:c r="O123" s="40"/>
      <x:c r="P123" s="6"/>
      <x:c r="Q123" s="33"/>
      <x:c r="R123" s="33"/>
      <x:c r="S123" s="44"/>
      <x:c r="T123" s="45" t="str">
        <x:f>IF(OR(F123="Buy currency",F123="Sell currency"),I123,"")</x:f>
      </x:c>
      <x:c r="U123" s="33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39"/>
      <x:c r="J124" s="6"/>
      <x:c r="K124" s="6"/>
      <x:c r="L124" s="6"/>
      <x:c r="M124" s="6"/>
      <x:c r="N124" s="6"/>
      <x:c r="O124" s="40"/>
      <x:c r="P124" s="6"/>
      <x:c r="Q124" s="33"/>
      <x:c r="R124" s="33"/>
      <x:c r="S124" s="44"/>
      <x:c r="T124" s="45" t="str">
        <x:f>IF(OR(F124="Buy currency",F124="Sell currency"),I124,"")</x:f>
      </x:c>
      <x:c r="U124" s="33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39"/>
      <x:c r="J125" s="6"/>
      <x:c r="K125" s="6"/>
      <x:c r="L125" s="6"/>
      <x:c r="M125" s="6"/>
      <x:c r="N125" s="6"/>
      <x:c r="O125" s="40"/>
      <x:c r="P125" s="6"/>
      <x:c r="Q125" s="33"/>
      <x:c r="R125" s="33"/>
      <x:c r="S125" s="44"/>
      <x:c r="T125" s="45" t="str">
        <x:f>IF(OR(F125="Buy currency",F125="Sell currency"),I125,"")</x:f>
      </x:c>
      <x:c r="U125" s="33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39"/>
      <x:c r="J126" s="6"/>
      <x:c r="K126" s="6"/>
      <x:c r="L126" s="6"/>
      <x:c r="M126" s="6"/>
      <x:c r="N126" s="6"/>
      <x:c r="O126" s="40"/>
      <x:c r="P126" s="6"/>
      <x:c r="Q126" s="33"/>
      <x:c r="R126" s="33"/>
      <x:c r="S126" s="44"/>
      <x:c r="T126" s="45" t="str">
        <x:f>IF(OR(F126="Buy currency",F126="Sell currency"),I126,"")</x:f>
      </x:c>
      <x:c r="U126" s="33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39"/>
      <x:c r="J127" s="6"/>
      <x:c r="K127" s="6"/>
      <x:c r="L127" s="6"/>
      <x:c r="M127" s="6"/>
      <x:c r="N127" s="6"/>
      <x:c r="O127" s="40"/>
      <x:c r="P127" s="6"/>
      <x:c r="Q127" s="33"/>
      <x:c r="R127" s="33"/>
      <x:c r="S127" s="44"/>
      <x:c r="T127" s="45" t="str">
        <x:f>IF(OR(F127="Buy currency",F127="Sell currency"),I127,"")</x:f>
      </x:c>
      <x:c r="U127" s="33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39"/>
      <x:c r="J128" s="6"/>
      <x:c r="K128" s="6"/>
      <x:c r="L128" s="6"/>
      <x:c r="M128" s="6"/>
      <x:c r="N128" s="6"/>
      <x:c r="O128" s="40"/>
      <x:c r="P128" s="6"/>
      <x:c r="Q128" s="33"/>
      <x:c r="R128" s="33"/>
      <x:c r="S128" s="44"/>
      <x:c r="T128" s="45" t="str">
        <x:f>IF(OR(F128="Buy currency",F128="Sell currency"),I128,"")</x:f>
      </x:c>
      <x:c r="U128" s="33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39"/>
      <x:c r="J129" s="6"/>
      <x:c r="K129" s="6"/>
      <x:c r="L129" s="6"/>
      <x:c r="M129" s="6"/>
      <x:c r="N129" s="6"/>
      <x:c r="O129" s="40"/>
      <x:c r="P129" s="6"/>
      <x:c r="Q129" s="33"/>
      <x:c r="R129" s="33"/>
      <x:c r="S129" s="44"/>
      <x:c r="T129" s="45" t="str">
        <x:f>IF(OR(F129="Buy currency",F129="Sell currency"),I129,"")</x:f>
      </x:c>
      <x:c r="U129" s="33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39"/>
      <x:c r="J130" s="6"/>
      <x:c r="K130" s="6"/>
      <x:c r="L130" s="6"/>
      <x:c r="M130" s="6"/>
      <x:c r="N130" s="6"/>
      <x:c r="O130" s="40"/>
      <x:c r="P130" s="6"/>
      <x:c r="Q130" s="33"/>
      <x:c r="R130" s="33"/>
      <x:c r="S130" s="44"/>
      <x:c r="T130" s="45" t="str">
        <x:f>IF(OR(F130="Buy currency",F130="Sell currency"),I130,"")</x:f>
      </x:c>
      <x:c r="U130" s="33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39"/>
      <x:c r="J131" s="6"/>
      <x:c r="K131" s="6"/>
      <x:c r="L131" s="6"/>
      <x:c r="M131" s="6"/>
      <x:c r="N131" s="6"/>
      <x:c r="O131" s="40"/>
      <x:c r="P131" s="6"/>
      <x:c r="Q131" s="33"/>
      <x:c r="R131" s="33"/>
      <x:c r="S131" s="44"/>
      <x:c r="T131" s="45" t="str">
        <x:f>IF(OR(F131="Buy currency",F131="Sell currency"),I131,"")</x:f>
      </x:c>
      <x:c r="U131" s="33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39"/>
      <x:c r="J132" s="6"/>
      <x:c r="K132" s="6"/>
      <x:c r="L132" s="6"/>
      <x:c r="M132" s="6"/>
      <x:c r="N132" s="6"/>
      <x:c r="O132" s="40"/>
      <x:c r="P132" s="6"/>
      <x:c r="Q132" s="33"/>
      <x:c r="R132" s="33"/>
      <x:c r="S132" s="44"/>
      <x:c r="T132" s="45" t="str">
        <x:f>IF(OR(F132="Buy currency",F132="Sell currency"),I132,"")</x:f>
      </x:c>
      <x:c r="U132" s="33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39"/>
      <x:c r="J133" s="6"/>
      <x:c r="K133" s="6"/>
      <x:c r="L133" s="6"/>
      <x:c r="M133" s="6"/>
      <x:c r="N133" s="6"/>
      <x:c r="O133" s="40"/>
      <x:c r="P133" s="6"/>
      <x:c r="Q133" s="33"/>
      <x:c r="R133" s="33"/>
      <x:c r="S133" s="44"/>
      <x:c r="T133" s="45" t="str">
        <x:f>IF(OR(F133="Buy currency",F133="Sell currency"),I133,"")</x:f>
      </x:c>
      <x:c r="U133" s="33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39"/>
      <x:c r="J134" s="6"/>
      <x:c r="K134" s="6"/>
      <x:c r="L134" s="6"/>
      <x:c r="M134" s="6"/>
      <x:c r="N134" s="6"/>
      <x:c r="O134" s="40"/>
      <x:c r="P134" s="6"/>
      <x:c r="Q134" s="33"/>
      <x:c r="R134" s="33"/>
      <x:c r="S134" s="44"/>
      <x:c r="T134" s="45" t="str">
        <x:f>IF(OR(F134="Buy currency",F134="Sell currency"),I134,"")</x:f>
      </x:c>
      <x:c r="U134" s="33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39"/>
      <x:c r="J135" s="6"/>
      <x:c r="K135" s="6"/>
      <x:c r="L135" s="6"/>
      <x:c r="M135" s="6"/>
      <x:c r="N135" s="6"/>
      <x:c r="O135" s="40"/>
      <x:c r="P135" s="6"/>
      <x:c r="Q135" s="33"/>
      <x:c r="R135" s="33"/>
      <x:c r="S135" s="44"/>
      <x:c r="T135" s="45" t="str">
        <x:f>IF(OR(F135="Buy currency",F135="Sell currency"),I135,"")</x:f>
      </x:c>
      <x:c r="U135" s="33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39"/>
      <x:c r="J136" s="6"/>
      <x:c r="K136" s="6"/>
      <x:c r="L136" s="6"/>
      <x:c r="M136" s="6"/>
      <x:c r="N136" s="6"/>
      <x:c r="O136" s="40"/>
      <x:c r="P136" s="6"/>
      <x:c r="Q136" s="33"/>
      <x:c r="R136" s="33"/>
      <x:c r="S136" s="44"/>
      <x:c r="T136" s="45" t="str">
        <x:f>IF(OR(F136="Buy currency",F136="Sell currency"),I136,"")</x:f>
      </x:c>
      <x:c r="U136" s="33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39"/>
      <x:c r="J137" s="6"/>
      <x:c r="K137" s="6"/>
      <x:c r="L137" s="6"/>
      <x:c r="M137" s="6"/>
      <x:c r="N137" s="6"/>
      <x:c r="O137" s="40"/>
      <x:c r="P137" s="6"/>
      <x:c r="Q137" s="33"/>
      <x:c r="R137" s="33"/>
      <x:c r="S137" s="44"/>
      <x:c r="T137" s="45" t="str">
        <x:f>IF(OR(F137="Buy currency",F137="Sell currency"),I137,"")</x:f>
      </x:c>
      <x:c r="U137" s="33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39"/>
      <x:c r="J138" s="6"/>
      <x:c r="K138" s="6"/>
      <x:c r="L138" s="6"/>
      <x:c r="M138" s="6"/>
      <x:c r="N138" s="6"/>
      <x:c r="O138" s="40"/>
      <x:c r="P138" s="6"/>
      <x:c r="Q138" s="33"/>
      <x:c r="R138" s="33"/>
      <x:c r="S138" s="44"/>
      <x:c r="T138" s="45" t="str">
        <x:f>IF(OR(F138="Buy currency",F138="Sell currency"),I138,"")</x:f>
      </x:c>
      <x:c r="U138" s="33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39"/>
      <x:c r="J139" s="6"/>
      <x:c r="K139" s="6"/>
      <x:c r="L139" s="6"/>
      <x:c r="M139" s="6"/>
      <x:c r="N139" s="6"/>
      <x:c r="O139" s="40"/>
      <x:c r="P139" s="6"/>
      <x:c r="Q139" s="33"/>
      <x:c r="R139" s="33"/>
      <x:c r="S139" s="44"/>
      <x:c r="T139" s="45" t="str">
        <x:f>IF(OR(F139="Buy currency",F139="Sell currency"),I139,"")</x:f>
      </x:c>
      <x:c r="U139" s="33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39"/>
      <x:c r="J140" s="6"/>
      <x:c r="K140" s="6"/>
      <x:c r="L140" s="6"/>
      <x:c r="M140" s="6"/>
      <x:c r="N140" s="6"/>
      <x:c r="O140" s="40"/>
      <x:c r="P140" s="6"/>
      <x:c r="Q140" s="33"/>
      <x:c r="R140" s="33"/>
      <x:c r="S140" s="44"/>
      <x:c r="T140" s="45" t="str">
        <x:f>IF(OR(F140="Buy currency",F140="Sell currency"),I140,"")</x:f>
      </x:c>
      <x:c r="U140" s="33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39"/>
      <x:c r="J141" s="6"/>
      <x:c r="K141" s="6"/>
      <x:c r="L141" s="6"/>
      <x:c r="M141" s="6"/>
      <x:c r="N141" s="6"/>
      <x:c r="O141" s="40"/>
      <x:c r="P141" s="6"/>
      <x:c r="Q141" s="33"/>
      <x:c r="R141" s="33"/>
      <x:c r="S141" s="44"/>
      <x:c r="T141" s="45" t="str">
        <x:f>IF(OR(F141="Buy currency",F141="Sell currency"),I141,"")</x:f>
      </x:c>
      <x:c r="U141" s="33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39"/>
      <x:c r="J142" s="6"/>
      <x:c r="K142" s="6"/>
      <x:c r="L142" s="6"/>
      <x:c r="M142" s="6"/>
      <x:c r="N142" s="6"/>
      <x:c r="O142" s="40"/>
      <x:c r="P142" s="6"/>
      <x:c r="Q142" s="33"/>
      <x:c r="R142" s="33"/>
      <x:c r="S142" s="44"/>
      <x:c r="T142" s="45" t="str">
        <x:f>IF(OR(F142="Buy currency",F142="Sell currency"),I142,"")</x:f>
      </x:c>
      <x:c r="U142" s="33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39"/>
      <x:c r="J143" s="6"/>
      <x:c r="K143" s="6"/>
      <x:c r="L143" s="6"/>
      <x:c r="M143" s="6"/>
      <x:c r="N143" s="6"/>
      <x:c r="O143" s="40"/>
      <x:c r="P143" s="6"/>
      <x:c r="Q143" s="33"/>
      <x:c r="R143" s="33"/>
      <x:c r="S143" s="44"/>
      <x:c r="T143" s="45" t="str">
        <x:f>IF(OR(F143="Buy currency",F143="Sell currency"),I143,"")</x:f>
      </x:c>
      <x:c r="U143" s="33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39"/>
      <x:c r="J144" s="6"/>
      <x:c r="K144" s="6"/>
      <x:c r="L144" s="6"/>
      <x:c r="M144" s="6"/>
      <x:c r="N144" s="6"/>
      <x:c r="O144" s="40"/>
      <x:c r="P144" s="6"/>
      <x:c r="Q144" s="33"/>
      <x:c r="R144" s="33"/>
      <x:c r="S144" s="44"/>
      <x:c r="T144" s="45" t="str">
        <x:f>IF(OR(F144="Buy currency",F144="Sell currency"),I144,"")</x:f>
      </x:c>
      <x:c r="U144" s="33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39"/>
      <x:c r="J145" s="6"/>
      <x:c r="K145" s="6"/>
      <x:c r="L145" s="6"/>
      <x:c r="M145" s="6"/>
      <x:c r="N145" s="6"/>
      <x:c r="O145" s="40"/>
      <x:c r="P145" s="6"/>
      <x:c r="Q145" s="33"/>
      <x:c r="R145" s="33"/>
      <x:c r="S145" s="44"/>
      <x:c r="T145" s="45" t="str">
        <x:f>IF(OR(F145="Buy currency",F145="Sell currency"),I145,"")</x:f>
      </x:c>
      <x:c r="U145" s="33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39"/>
      <x:c r="J146" s="6"/>
      <x:c r="K146" s="6"/>
      <x:c r="L146" s="6"/>
      <x:c r="M146" s="6"/>
      <x:c r="N146" s="6"/>
      <x:c r="O146" s="40"/>
      <x:c r="P146" s="6"/>
      <x:c r="Q146" s="33"/>
      <x:c r="R146" s="33"/>
      <x:c r="S146" s="44"/>
      <x:c r="T146" s="45" t="str">
        <x:f>IF(OR(F146="Buy currency",F146="Sell currency"),I146,"")</x:f>
      </x:c>
      <x:c r="U146" s="33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39"/>
      <x:c r="J147" s="6"/>
      <x:c r="K147" s="6"/>
      <x:c r="L147" s="6"/>
      <x:c r="M147" s="6"/>
      <x:c r="N147" s="6"/>
      <x:c r="O147" s="40"/>
      <x:c r="P147" s="6"/>
      <x:c r="Q147" s="33"/>
      <x:c r="R147" s="33"/>
      <x:c r="S147" s="44"/>
      <x:c r="T147" s="45" t="str">
        <x:f>IF(OR(F147="Buy currency",F147="Sell currency"),I147,"")</x:f>
      </x:c>
      <x:c r="U147" s="33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39"/>
      <x:c r="J148" s="6"/>
      <x:c r="K148" s="6"/>
      <x:c r="L148" s="6"/>
      <x:c r="M148" s="6"/>
      <x:c r="N148" s="6"/>
      <x:c r="O148" s="40"/>
      <x:c r="P148" s="6"/>
      <x:c r="Q148" s="33"/>
      <x:c r="R148" s="33"/>
      <x:c r="S148" s="44"/>
      <x:c r="T148" s="45" t="str">
        <x:f>IF(OR(F148="Buy currency",F148="Sell currency"),I148,"")</x:f>
      </x:c>
      <x:c r="U148" s="33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39"/>
      <x:c r="J149" s="6"/>
      <x:c r="K149" s="6"/>
      <x:c r="L149" s="6"/>
      <x:c r="M149" s="6"/>
      <x:c r="N149" s="6"/>
      <x:c r="O149" s="40"/>
      <x:c r="P149" s="6"/>
      <x:c r="Q149" s="33"/>
      <x:c r="R149" s="33"/>
      <x:c r="S149" s="44"/>
      <x:c r="T149" s="45" t="str">
        <x:f>IF(OR(F149="Buy currency",F149="Sell currency"),I149,"")</x:f>
      </x:c>
      <x:c r="U149" s="33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39"/>
      <x:c r="J150" s="6"/>
      <x:c r="K150" s="6"/>
      <x:c r="L150" s="6"/>
      <x:c r="M150" s="6"/>
      <x:c r="N150" s="6"/>
      <x:c r="O150" s="40"/>
      <x:c r="P150" s="6"/>
      <x:c r="Q150" s="33"/>
      <x:c r="R150" s="33"/>
      <x:c r="S150" s="44"/>
      <x:c r="T150" s="45" t="str">
        <x:f>IF(OR(F150="Buy currency",F150="Sell currency"),I150,"")</x:f>
      </x:c>
      <x:c r="U150" s="33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39"/>
      <x:c r="J151" s="6"/>
      <x:c r="K151" s="6"/>
      <x:c r="L151" s="6"/>
      <x:c r="M151" s="6"/>
      <x:c r="N151" s="6"/>
      <x:c r="O151" s="40"/>
      <x:c r="P151" s="6"/>
      <x:c r="Q151" s="33"/>
      <x:c r="R151" s="33"/>
      <x:c r="S151" s="44"/>
      <x:c r="T151" s="45" t="str">
        <x:f>IF(OR(F151="Buy currency",F151="Sell currency"),I151,"")</x:f>
      </x:c>
      <x:c r="U151" s="33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39"/>
      <x:c r="J152" s="6"/>
      <x:c r="K152" s="6"/>
      <x:c r="L152" s="6"/>
      <x:c r="M152" s="6"/>
      <x:c r="N152" s="6"/>
      <x:c r="O152" s="40"/>
      <x:c r="P152" s="6"/>
      <x:c r="Q152" s="33"/>
      <x:c r="R152" s="33"/>
      <x:c r="S152" s="44"/>
      <x:c r="T152" s="45" t="str">
        <x:f>IF(OR(F152="Buy currency",F152="Sell currency"),I152,"")</x:f>
      </x:c>
      <x:c r="U152" s="33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39"/>
      <x:c r="J153" s="6"/>
      <x:c r="K153" s="6"/>
      <x:c r="L153" s="6"/>
      <x:c r="M153" s="6"/>
      <x:c r="N153" s="6"/>
      <x:c r="O153" s="40"/>
      <x:c r="P153" s="6"/>
      <x:c r="Q153" s="33"/>
      <x:c r="R153" s="33"/>
      <x:c r="S153" s="44"/>
      <x:c r="T153" s="45" t="str">
        <x:f>IF(OR(F153="Buy currency",F153="Sell currency"),I153,"")</x:f>
      </x:c>
      <x:c r="U153" s="33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39"/>
      <x:c r="J154" s="6"/>
      <x:c r="K154" s="6"/>
      <x:c r="L154" s="6"/>
      <x:c r="M154" s="6"/>
      <x:c r="N154" s="6"/>
      <x:c r="O154" s="40"/>
      <x:c r="P154" s="6"/>
      <x:c r="Q154" s="33"/>
      <x:c r="R154" s="33"/>
      <x:c r="S154" s="44"/>
      <x:c r="T154" s="45" t="str">
        <x:f>IF(OR(F154="Buy currency",F154="Sell currency"),I154,"")</x:f>
      </x:c>
      <x:c r="U154" s="33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39"/>
      <x:c r="J155" s="6"/>
      <x:c r="K155" s="6"/>
      <x:c r="L155" s="6"/>
      <x:c r="M155" s="6"/>
      <x:c r="N155" s="6"/>
      <x:c r="O155" s="40"/>
      <x:c r="P155" s="6"/>
      <x:c r="Q155" s="33"/>
      <x:c r="R155" s="33"/>
      <x:c r="S155" s="44"/>
      <x:c r="T155" s="45" t="str">
        <x:f>IF(OR(F155="Buy currency",F155="Sell currency"),I155,"")</x:f>
      </x:c>
      <x:c r="U155" s="33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39"/>
      <x:c r="J156" s="6"/>
      <x:c r="K156" s="6"/>
      <x:c r="L156" s="6"/>
      <x:c r="M156" s="6"/>
      <x:c r="N156" s="6"/>
      <x:c r="O156" s="40"/>
      <x:c r="P156" s="6"/>
      <x:c r="Q156" s="33"/>
      <x:c r="R156" s="33"/>
      <x:c r="S156" s="44"/>
      <x:c r="T156" s="45" t="str">
        <x:f>IF(OR(F156="Buy currency",F156="Sell currency"),I156,"")</x:f>
      </x:c>
      <x:c r="U156" s="33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39"/>
      <x:c r="J157" s="6"/>
      <x:c r="K157" s="6"/>
      <x:c r="L157" s="6"/>
      <x:c r="M157" s="6"/>
      <x:c r="N157" s="6"/>
      <x:c r="O157" s="40"/>
      <x:c r="P157" s="6"/>
      <x:c r="Q157" s="33"/>
      <x:c r="R157" s="33"/>
      <x:c r="S157" s="44"/>
      <x:c r="T157" s="45" t="str">
        <x:f>IF(OR(F157="Buy currency",F157="Sell currency"),I157,"")</x:f>
      </x:c>
      <x:c r="U157" s="33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39"/>
      <x:c r="J158" s="6"/>
      <x:c r="K158" s="6"/>
      <x:c r="L158" s="6"/>
      <x:c r="M158" s="6"/>
      <x:c r="N158" s="6"/>
      <x:c r="O158" s="40"/>
      <x:c r="P158" s="6"/>
      <x:c r="Q158" s="33"/>
      <x:c r="R158" s="33"/>
      <x:c r="S158" s="44"/>
      <x:c r="T158" s="45" t="str">
        <x:f>IF(OR(F158="Buy currency",F158="Sell currency"),I158,"")</x:f>
      </x:c>
      <x:c r="U158" s="33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39"/>
      <x:c r="J159" s="6"/>
      <x:c r="K159" s="6"/>
      <x:c r="L159" s="6"/>
      <x:c r="M159" s="6"/>
      <x:c r="N159" s="6"/>
      <x:c r="O159" s="40"/>
      <x:c r="P159" s="6"/>
      <x:c r="Q159" s="33"/>
      <x:c r="R159" s="33"/>
      <x:c r="S159" s="44"/>
      <x:c r="T159" s="45" t="str">
        <x:f>IF(OR(F159="Buy currency",F159="Sell currency"),I159,"")</x:f>
      </x:c>
      <x:c r="U159" s="33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39"/>
      <x:c r="J160" s="6"/>
      <x:c r="K160" s="6"/>
      <x:c r="L160" s="6"/>
      <x:c r="M160" s="6"/>
      <x:c r="N160" s="6"/>
      <x:c r="O160" s="40"/>
      <x:c r="P160" s="6"/>
      <x:c r="Q160" s="33"/>
      <x:c r="R160" s="33"/>
      <x:c r="S160" s="44"/>
      <x:c r="T160" s="45" t="str">
        <x:f>IF(OR(F160="Buy currency",F160="Sell currency"),I160,"")</x:f>
      </x:c>
      <x:c r="U160" s="33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39"/>
      <x:c r="J161" s="6"/>
      <x:c r="K161" s="6"/>
      <x:c r="L161" s="6"/>
      <x:c r="M161" s="6"/>
      <x:c r="N161" s="6"/>
      <x:c r="O161" s="40"/>
      <x:c r="P161" s="6"/>
      <x:c r="Q161" s="33"/>
      <x:c r="R161" s="33"/>
      <x:c r="S161" s="44"/>
      <x:c r="T161" s="45" t="str">
        <x:f>IF(OR(F161="Buy currency",F161="Sell currency"),I161,"")</x:f>
      </x:c>
      <x:c r="U161" s="33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39"/>
      <x:c r="J162" s="6"/>
      <x:c r="K162" s="6"/>
      <x:c r="L162" s="6"/>
      <x:c r="M162" s="6"/>
      <x:c r="N162" s="6"/>
      <x:c r="O162" s="40"/>
      <x:c r="P162" s="6"/>
      <x:c r="Q162" s="33"/>
      <x:c r="R162" s="33"/>
      <x:c r="S162" s="44"/>
      <x:c r="T162" s="45" t="str">
        <x:f>IF(OR(F162="Buy currency",F162="Sell currency"),I162,"")</x:f>
      </x:c>
      <x:c r="U162" s="33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39"/>
      <x:c r="J163" s="6"/>
      <x:c r="K163" s="6"/>
      <x:c r="L163" s="6"/>
      <x:c r="M163" s="6"/>
      <x:c r="N163" s="6"/>
      <x:c r="O163" s="40"/>
      <x:c r="P163" s="6"/>
      <x:c r="Q163" s="33"/>
      <x:c r="R163" s="33"/>
      <x:c r="S163" s="44"/>
      <x:c r="T163" s="45" t="str">
        <x:f>IF(OR(F163="Buy currency",F163="Sell currency"),I163,"")</x:f>
      </x:c>
      <x:c r="U163" s="33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39"/>
      <x:c r="J164" s="6"/>
      <x:c r="K164" s="6"/>
      <x:c r="L164" s="6"/>
      <x:c r="M164" s="6"/>
      <x:c r="N164" s="6"/>
      <x:c r="O164" s="40"/>
      <x:c r="P164" s="6"/>
      <x:c r="Q164" s="33"/>
      <x:c r="R164" s="33"/>
      <x:c r="S164" s="44"/>
      <x:c r="T164" s="45" t="str">
        <x:f>IF(OR(F164="Buy currency",F164="Sell currency"),I164,"")</x:f>
      </x:c>
      <x:c r="U164" s="33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39"/>
      <x:c r="J165" s="6"/>
      <x:c r="K165" s="6"/>
      <x:c r="L165" s="6"/>
      <x:c r="M165" s="6"/>
      <x:c r="N165" s="6"/>
      <x:c r="O165" s="40"/>
      <x:c r="P165" s="6"/>
      <x:c r="Q165" s="33"/>
      <x:c r="R165" s="33"/>
      <x:c r="S165" s="44"/>
      <x:c r="T165" s="45" t="str">
        <x:f>IF(OR(F165="Buy currency",F165="Sell currency"),I165,"")</x:f>
      </x:c>
      <x:c r="U165" s="33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39"/>
      <x:c r="J166" s="6"/>
      <x:c r="K166" s="6"/>
      <x:c r="L166" s="6"/>
      <x:c r="M166" s="6"/>
      <x:c r="N166" s="6"/>
      <x:c r="O166" s="40"/>
      <x:c r="P166" s="6"/>
      <x:c r="Q166" s="33"/>
      <x:c r="R166" s="33"/>
      <x:c r="S166" s="44"/>
      <x:c r="T166" s="45" t="str">
        <x:f>IF(OR(F166="Buy currency",F166="Sell currency"),I166,"")</x:f>
      </x:c>
      <x:c r="U166" s="33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39"/>
      <x:c r="J167" s="6"/>
      <x:c r="K167" s="6"/>
      <x:c r="L167" s="6"/>
      <x:c r="M167" s="6"/>
      <x:c r="N167" s="6"/>
      <x:c r="O167" s="40"/>
      <x:c r="P167" s="6"/>
      <x:c r="Q167" s="33"/>
      <x:c r="R167" s="33"/>
      <x:c r="S167" s="44"/>
      <x:c r="T167" s="45" t="str">
        <x:f>IF(OR(F167="Buy currency",F167="Sell currency"),I167,"")</x:f>
      </x:c>
      <x:c r="U167" s="33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39"/>
      <x:c r="J168" s="6"/>
      <x:c r="K168" s="6"/>
      <x:c r="L168" s="6"/>
      <x:c r="M168" s="6"/>
      <x:c r="N168" s="6"/>
      <x:c r="O168" s="40"/>
      <x:c r="P168" s="6"/>
      <x:c r="Q168" s="33"/>
      <x:c r="R168" s="33"/>
      <x:c r="S168" s="44"/>
      <x:c r="T168" s="45" t="str">
        <x:f>IF(OR(F168="Buy currency",F168="Sell currency"),I168,"")</x:f>
      </x:c>
      <x:c r="U168" s="33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39"/>
      <x:c r="J169" s="6"/>
      <x:c r="K169" s="6"/>
      <x:c r="L169" s="6"/>
      <x:c r="M169" s="6"/>
      <x:c r="N169" s="6"/>
      <x:c r="O169" s="40"/>
      <x:c r="P169" s="6"/>
      <x:c r="Q169" s="33"/>
      <x:c r="R169" s="33"/>
      <x:c r="S169" s="44"/>
      <x:c r="T169" s="45" t="str">
        <x:f>IF(OR(F169="Buy currency",F169="Sell currency"),I169,"")</x:f>
      </x:c>
      <x:c r="U169" s="33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39"/>
      <x:c r="J170" s="6"/>
      <x:c r="K170" s="6"/>
      <x:c r="L170" s="6"/>
      <x:c r="M170" s="6"/>
      <x:c r="N170" s="6"/>
      <x:c r="O170" s="40"/>
      <x:c r="P170" s="6"/>
      <x:c r="Q170" s="33"/>
      <x:c r="R170" s="33"/>
      <x:c r="S170" s="44"/>
      <x:c r="T170" s="45" t="str">
        <x:f>IF(OR(F170="Buy currency",F170="Sell currency"),I170,"")</x:f>
      </x:c>
      <x:c r="U170" s="33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39"/>
      <x:c r="J171" s="6"/>
      <x:c r="K171" s="6"/>
      <x:c r="L171" s="6"/>
      <x:c r="M171" s="6"/>
      <x:c r="N171" s="6"/>
      <x:c r="O171" s="40"/>
      <x:c r="P171" s="6"/>
      <x:c r="Q171" s="33"/>
      <x:c r="R171" s="33"/>
      <x:c r="S171" s="44"/>
      <x:c r="T171" s="45" t="str">
        <x:f>IF(OR(F171="Buy currency",F171="Sell currency"),I171,"")</x:f>
      </x:c>
      <x:c r="U171" s="33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39"/>
      <x:c r="J172" s="6"/>
      <x:c r="K172" s="6"/>
      <x:c r="L172" s="6"/>
      <x:c r="M172" s="6"/>
      <x:c r="N172" s="6"/>
      <x:c r="O172" s="40"/>
      <x:c r="P172" s="6"/>
      <x:c r="Q172" s="33"/>
      <x:c r="R172" s="33"/>
      <x:c r="S172" s="44"/>
      <x:c r="T172" s="45" t="str">
        <x:f>IF(OR(F172="Buy currency",F172="Sell currency"),I172,"")</x:f>
      </x:c>
      <x:c r="U172" s="33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39"/>
      <x:c r="J173" s="6"/>
      <x:c r="K173" s="6"/>
      <x:c r="L173" s="6"/>
      <x:c r="M173" s="6"/>
      <x:c r="N173" s="6"/>
      <x:c r="O173" s="40"/>
      <x:c r="P173" s="6"/>
      <x:c r="Q173" s="33"/>
      <x:c r="R173" s="33"/>
      <x:c r="S173" s="44"/>
      <x:c r="T173" s="45" t="str">
        <x:f>IF(OR(F173="Buy currency",F173="Sell currency"),I173,"")</x:f>
      </x:c>
      <x:c r="U173" s="33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39"/>
      <x:c r="J174" s="6"/>
      <x:c r="K174" s="6"/>
      <x:c r="L174" s="6"/>
      <x:c r="M174" s="6"/>
      <x:c r="N174" s="6"/>
      <x:c r="O174" s="40"/>
      <x:c r="P174" s="6"/>
      <x:c r="Q174" s="33"/>
      <x:c r="R174" s="33"/>
      <x:c r="S174" s="44"/>
      <x:c r="T174" s="45" t="str">
        <x:f>IF(OR(F174="Buy currency",F174="Sell currency"),I174,"")</x:f>
      </x:c>
      <x:c r="U174" s="33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39"/>
      <x:c r="J175" s="6"/>
      <x:c r="K175" s="6"/>
      <x:c r="L175" s="6"/>
      <x:c r="M175" s="6"/>
      <x:c r="N175" s="6"/>
      <x:c r="O175" s="40"/>
      <x:c r="P175" s="6"/>
      <x:c r="Q175" s="33"/>
      <x:c r="R175" s="33"/>
      <x:c r="S175" s="44"/>
      <x:c r="T175" s="45" t="str">
        <x:f>IF(OR(F175="Buy currency",F175="Sell currency"),I175,"")</x:f>
      </x:c>
      <x:c r="U175" s="33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39"/>
      <x:c r="J176" s="6"/>
      <x:c r="K176" s="6"/>
      <x:c r="L176" s="6"/>
      <x:c r="M176" s="6"/>
      <x:c r="N176" s="6"/>
      <x:c r="O176" s="40"/>
      <x:c r="P176" s="6"/>
      <x:c r="Q176" s="33"/>
      <x:c r="R176" s="33"/>
      <x:c r="S176" s="44"/>
      <x:c r="T176" s="45" t="str">
        <x:f>IF(OR(F176="Buy currency",F176="Sell currency"),I176,"")</x:f>
      </x:c>
      <x:c r="U176" s="33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39"/>
      <x:c r="J177" s="6"/>
      <x:c r="K177" s="6"/>
      <x:c r="L177" s="6"/>
      <x:c r="M177" s="6"/>
      <x:c r="N177" s="6"/>
      <x:c r="O177" s="40"/>
      <x:c r="P177" s="6"/>
      <x:c r="Q177" s="33"/>
      <x:c r="R177" s="33"/>
      <x:c r="S177" s="44"/>
      <x:c r="T177" s="45" t="str">
        <x:f>IF(OR(F177="Buy currency",F177="Sell currency"),I177,"")</x:f>
      </x:c>
      <x:c r="U177" s="33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39"/>
      <x:c r="J178" s="6"/>
      <x:c r="K178" s="6"/>
      <x:c r="L178" s="6"/>
      <x:c r="M178" s="6"/>
      <x:c r="N178" s="6"/>
      <x:c r="O178" s="40"/>
      <x:c r="P178" s="6"/>
      <x:c r="Q178" s="33"/>
      <x:c r="R178" s="33"/>
      <x:c r="S178" s="44"/>
      <x:c r="T178" s="45" t="str">
        <x:f>IF(OR(F178="Buy currency",F178="Sell currency"),I178,"")</x:f>
      </x:c>
      <x:c r="U178" s="33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39"/>
      <x:c r="J179" s="6"/>
      <x:c r="K179" s="6"/>
      <x:c r="L179" s="6"/>
      <x:c r="M179" s="6"/>
      <x:c r="N179" s="6"/>
      <x:c r="O179" s="40"/>
      <x:c r="P179" s="6"/>
      <x:c r="Q179" s="33"/>
      <x:c r="R179" s="33"/>
      <x:c r="S179" s="44"/>
      <x:c r="T179" s="45" t="str">
        <x:f>IF(OR(F179="Buy currency",F179="Sell currency"),I179,"")</x:f>
      </x:c>
      <x:c r="U179" s="33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39"/>
      <x:c r="J180" s="6"/>
      <x:c r="K180" s="6"/>
      <x:c r="L180" s="6"/>
      <x:c r="M180" s="6"/>
      <x:c r="N180" s="6"/>
      <x:c r="O180" s="40"/>
      <x:c r="P180" s="6"/>
      <x:c r="Q180" s="33"/>
      <x:c r="R180" s="33"/>
      <x:c r="S180" s="44"/>
      <x:c r="T180" s="45" t="str">
        <x:f>IF(OR(F180="Buy currency",F180="Sell currency"),I180,"")</x:f>
      </x:c>
      <x:c r="U180" s="33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39"/>
      <x:c r="J181" s="6"/>
      <x:c r="K181" s="6"/>
      <x:c r="L181" s="6"/>
      <x:c r="M181" s="6"/>
      <x:c r="N181" s="6"/>
      <x:c r="O181" s="40"/>
      <x:c r="P181" s="6"/>
      <x:c r="Q181" s="33"/>
      <x:c r="R181" s="33"/>
      <x:c r="S181" s="44"/>
      <x:c r="T181" s="45" t="str">
        <x:f>IF(OR(F181="Buy currency",F181="Sell currency"),I181,"")</x:f>
      </x:c>
      <x:c r="U181" s="33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39"/>
      <x:c r="J182" s="6"/>
      <x:c r="K182" s="6"/>
      <x:c r="L182" s="6"/>
      <x:c r="M182" s="6"/>
      <x:c r="N182" s="6"/>
      <x:c r="O182" s="40"/>
      <x:c r="P182" s="6"/>
      <x:c r="Q182" s="33"/>
      <x:c r="R182" s="33"/>
      <x:c r="S182" s="44"/>
      <x:c r="T182" s="45" t="str">
        <x:f>IF(OR(F182="Buy currency",F182="Sell currency"),I182,"")</x:f>
      </x:c>
      <x:c r="U182" s="33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39"/>
      <x:c r="J183" s="6"/>
      <x:c r="K183" s="6"/>
      <x:c r="L183" s="6"/>
      <x:c r="M183" s="6"/>
      <x:c r="N183" s="6"/>
      <x:c r="O183" s="40"/>
      <x:c r="P183" s="6"/>
      <x:c r="Q183" s="33"/>
      <x:c r="R183" s="33"/>
      <x:c r="S183" s="44"/>
      <x:c r="T183" s="45" t="str">
        <x:f>IF(OR(F183="Buy currency",F183="Sell currency"),I183,"")</x:f>
      </x:c>
      <x:c r="U183" s="33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39"/>
      <x:c r="J184" s="6"/>
      <x:c r="K184" s="6"/>
      <x:c r="L184" s="6"/>
      <x:c r="M184" s="6"/>
      <x:c r="N184" s="6"/>
      <x:c r="O184" s="40"/>
      <x:c r="P184" s="6"/>
      <x:c r="Q184" s="33"/>
      <x:c r="R184" s="33"/>
      <x:c r="S184" s="44"/>
      <x:c r="T184" s="45" t="str">
        <x:f>IF(OR(F184="Buy currency",F184="Sell currency"),I184,"")</x:f>
      </x:c>
      <x:c r="U184" s="33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39"/>
      <x:c r="J185" s="6"/>
      <x:c r="K185" s="6"/>
      <x:c r="L185" s="6"/>
      <x:c r="M185" s="6"/>
      <x:c r="N185" s="6"/>
      <x:c r="O185" s="40"/>
      <x:c r="P185" s="6"/>
      <x:c r="Q185" s="33"/>
      <x:c r="R185" s="33"/>
      <x:c r="S185" s="44"/>
      <x:c r="T185" s="45" t="str">
        <x:f>IF(OR(F185="Buy currency",F185="Sell currency"),I185,"")</x:f>
      </x:c>
      <x:c r="U185" s="33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39"/>
      <x:c r="J186" s="6"/>
      <x:c r="K186" s="6"/>
      <x:c r="L186" s="6"/>
      <x:c r="M186" s="6"/>
      <x:c r="N186" s="6"/>
      <x:c r="O186" s="40"/>
      <x:c r="P186" s="6"/>
      <x:c r="Q186" s="33"/>
      <x:c r="R186" s="33"/>
      <x:c r="S186" s="44"/>
      <x:c r="T186" s="45" t="str">
        <x:f>IF(OR(F186="Buy currency",F186="Sell currency"),I186,"")</x:f>
      </x:c>
      <x:c r="U186" s="33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39"/>
      <x:c r="J187" s="6"/>
      <x:c r="K187" s="6"/>
      <x:c r="L187" s="6"/>
      <x:c r="M187" s="6"/>
      <x:c r="N187" s="6"/>
      <x:c r="O187" s="40"/>
      <x:c r="P187" s="6"/>
      <x:c r="Q187" s="33"/>
      <x:c r="R187" s="33"/>
      <x:c r="S187" s="44"/>
      <x:c r="T187" s="45" t="str">
        <x:f>IF(OR(F187="Buy currency",F187="Sell currency"),I187,"")</x:f>
      </x:c>
      <x:c r="U187" s="33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39"/>
      <x:c r="J188" s="6"/>
      <x:c r="K188" s="6"/>
      <x:c r="L188" s="6"/>
      <x:c r="M188" s="6"/>
      <x:c r="N188" s="6"/>
      <x:c r="O188" s="40"/>
      <x:c r="P188" s="6"/>
      <x:c r="Q188" s="33"/>
      <x:c r="R188" s="33"/>
      <x:c r="S188" s="44"/>
      <x:c r="T188" s="45" t="str">
        <x:f>IF(OR(F188="Buy currency",F188="Sell currency"),I188,"")</x:f>
      </x:c>
      <x:c r="U188" s="33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39"/>
      <x:c r="J189" s="6"/>
      <x:c r="K189" s="6"/>
      <x:c r="L189" s="6"/>
      <x:c r="M189" s="6"/>
      <x:c r="N189" s="6"/>
      <x:c r="O189" s="40"/>
      <x:c r="P189" s="6"/>
      <x:c r="Q189" s="33"/>
      <x:c r="R189" s="33"/>
      <x:c r="S189" s="44"/>
      <x:c r="T189" s="45" t="str">
        <x:f>IF(OR(F189="Buy currency",F189="Sell currency"),I189,"")</x:f>
      </x:c>
      <x:c r="U189" s="33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39"/>
      <x:c r="J190" s="6"/>
      <x:c r="K190" s="6"/>
      <x:c r="L190" s="6"/>
      <x:c r="M190" s="6"/>
      <x:c r="N190" s="6"/>
      <x:c r="O190" s="40"/>
      <x:c r="P190" s="6"/>
      <x:c r="Q190" s="33"/>
      <x:c r="R190" s="33"/>
      <x:c r="S190" s="44"/>
      <x:c r="T190" s="45" t="str">
        <x:f>IF(OR(F190="Buy currency",F190="Sell currency"),I190,"")</x:f>
      </x:c>
      <x:c r="U190" s="33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39"/>
      <x:c r="J191" s="6"/>
      <x:c r="K191" s="6"/>
      <x:c r="L191" s="6"/>
      <x:c r="M191" s="6"/>
      <x:c r="N191" s="6"/>
      <x:c r="O191" s="40"/>
      <x:c r="P191" s="6"/>
      <x:c r="Q191" s="33"/>
      <x:c r="R191" s="33"/>
      <x:c r="S191" s="44"/>
      <x:c r="T191" s="45" t="str">
        <x:f>IF(OR(F191="Buy currency",F191="Sell currency"),I191,"")</x:f>
      </x:c>
      <x:c r="U191" s="33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39"/>
      <x:c r="J192" s="6"/>
      <x:c r="K192" s="6"/>
      <x:c r="L192" s="6"/>
      <x:c r="M192" s="6"/>
      <x:c r="N192" s="6"/>
      <x:c r="O192" s="40"/>
      <x:c r="P192" s="6"/>
      <x:c r="Q192" s="33"/>
      <x:c r="R192" s="33"/>
      <x:c r="S192" s="44"/>
      <x:c r="T192" s="45" t="str">
        <x:f>IF(OR(F192="Buy currency",F192="Sell currency"),I192,"")</x:f>
      </x:c>
      <x:c r="U192" s="33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39"/>
      <x:c r="J193" s="6"/>
      <x:c r="K193" s="6"/>
      <x:c r="L193" s="6"/>
      <x:c r="M193" s="6"/>
      <x:c r="N193" s="6"/>
      <x:c r="O193" s="40"/>
      <x:c r="P193" s="6"/>
      <x:c r="Q193" s="33"/>
      <x:c r="R193" s="33"/>
      <x:c r="S193" s="44"/>
      <x:c r="T193" s="45" t="str">
        <x:f>IF(OR(F193="Buy currency",F193="Sell currency"),I193,"")</x:f>
      </x:c>
      <x:c r="U193" s="33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39"/>
      <x:c r="J194" s="6"/>
      <x:c r="K194" s="6"/>
      <x:c r="L194" s="6"/>
      <x:c r="M194" s="6"/>
      <x:c r="N194" s="6"/>
      <x:c r="O194" s="40"/>
      <x:c r="P194" s="6"/>
      <x:c r="Q194" s="33"/>
      <x:c r="R194" s="33"/>
      <x:c r="S194" s="44"/>
      <x:c r="T194" s="45" t="str">
        <x:f>IF(OR(F194="Buy currency",F194="Sell currency"),I194,"")</x:f>
      </x:c>
      <x:c r="U194" s="33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39"/>
      <x:c r="J195" s="6"/>
      <x:c r="K195" s="6"/>
      <x:c r="L195" s="6"/>
      <x:c r="M195" s="6"/>
      <x:c r="N195" s="6"/>
      <x:c r="O195" s="40"/>
      <x:c r="P195" s="6"/>
      <x:c r="Q195" s="33"/>
      <x:c r="R195" s="33"/>
      <x:c r="S195" s="44"/>
      <x:c r="T195" s="45" t="str">
        <x:f>IF(OR(F195="Buy currency",F195="Sell currency"),I195,"")</x:f>
      </x:c>
      <x:c r="U195" s="33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39"/>
      <x:c r="J196" s="6"/>
      <x:c r="K196" s="6"/>
      <x:c r="L196" s="6"/>
      <x:c r="M196" s="6"/>
      <x:c r="N196" s="6"/>
      <x:c r="O196" s="40"/>
      <x:c r="P196" s="6"/>
      <x:c r="Q196" s="33"/>
      <x:c r="R196" s="33"/>
      <x:c r="S196" s="44"/>
      <x:c r="T196" s="45" t="str">
        <x:f>IF(OR(F196="Buy currency",F196="Sell currency"),I196,"")</x:f>
      </x:c>
      <x:c r="U196" s="33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39"/>
      <x:c r="J197" s="6"/>
      <x:c r="K197" s="6"/>
      <x:c r="L197" s="6"/>
      <x:c r="M197" s="6"/>
      <x:c r="N197" s="6"/>
      <x:c r="O197" s="40"/>
      <x:c r="P197" s="6"/>
      <x:c r="Q197" s="33"/>
      <x:c r="R197" s="33"/>
      <x:c r="S197" s="44"/>
      <x:c r="T197" s="45" t="str">
        <x:f>IF(OR(F197="Buy currency",F197="Sell currency"),I197,"")</x:f>
      </x:c>
      <x:c r="U197" s="33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39"/>
      <x:c r="J198" s="6"/>
      <x:c r="K198" s="6"/>
      <x:c r="L198" s="6"/>
      <x:c r="M198" s="6"/>
      <x:c r="N198" s="6"/>
      <x:c r="O198" s="40"/>
      <x:c r="P198" s="6"/>
      <x:c r="Q198" s="33"/>
      <x:c r="R198" s="33"/>
      <x:c r="S198" s="44"/>
      <x:c r="T198" s="45" t="str">
        <x:f>IF(OR(F198="Buy currency",F198="Sell currency"),I198,"")</x:f>
      </x:c>
      <x:c r="U198" s="33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39"/>
      <x:c r="J199" s="6"/>
      <x:c r="K199" s="6"/>
      <x:c r="L199" s="6"/>
      <x:c r="M199" s="6"/>
      <x:c r="N199" s="6"/>
      <x:c r="O199" s="40"/>
      <x:c r="P199" s="6"/>
      <x:c r="Q199" s="33"/>
      <x:c r="R199" s="33"/>
      <x:c r="S199" s="44"/>
      <x:c r="T199" s="45" t="str">
        <x:f>IF(OR(F199="Buy currency",F199="Sell currency"),I199,"")</x:f>
      </x:c>
      <x:c r="U199" s="33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39"/>
      <x:c r="J200" s="6"/>
      <x:c r="K200" s="6"/>
      <x:c r="L200" s="6"/>
      <x:c r="M200" s="6"/>
      <x:c r="N200" s="6"/>
      <x:c r="O200" s="40"/>
      <x:c r="P200" s="6"/>
      <x:c r="Q200" s="33"/>
      <x:c r="R200" s="33"/>
      <x:c r="S200" s="44"/>
      <x:c r="T200" s="45" t="str">
        <x:f>IF(OR(F200="Buy currency",F200="Sell currency"),I200,"")</x:f>
      </x:c>
      <x:c r="U200" s="33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39"/>
      <x:c r="J201" s="6"/>
      <x:c r="K201" s="6"/>
      <x:c r="L201" s="6"/>
      <x:c r="M201" s="6"/>
      <x:c r="N201" s="6"/>
      <x:c r="O201" s="40"/>
      <x:c r="P201" s="6"/>
      <x:c r="Q201" s="33"/>
      <x:c r="R201" s="33"/>
      <x:c r="S201" s="44"/>
      <x:c r="T201" s="45" t="str">
        <x:f>IF(OR(F201="Buy currency",F201="Sell currency"),I201,"")</x:f>
      </x:c>
      <x:c r="U201" s="33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39"/>
      <x:c r="J202" s="6"/>
      <x:c r="K202" s="6"/>
      <x:c r="L202" s="6"/>
      <x:c r="M202" s="6"/>
      <x:c r="N202" s="6"/>
      <x:c r="O202" s="40"/>
      <x:c r="P202" s="6"/>
      <x:c r="Q202" s="33"/>
      <x:c r="R202" s="33"/>
      <x:c r="S202" s="44"/>
      <x:c r="T202" s="45" t="str">
        <x:f>IF(OR(F202="Buy currency",F202="Sell currency"),I202,"")</x:f>
      </x:c>
      <x:c r="U202" s="33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39"/>
      <x:c r="J203" s="6"/>
      <x:c r="K203" s="6"/>
      <x:c r="L203" s="6"/>
      <x:c r="M203" s="6"/>
      <x:c r="N203" s="6"/>
      <x:c r="O203" s="40"/>
      <x:c r="P203" s="6"/>
      <x:c r="Q203" s="33"/>
      <x:c r="R203" s="33"/>
      <x:c r="S203" s="44"/>
      <x:c r="T203" s="45" t="str">
        <x:f>IF(OR(F203="Buy currency",F203="Sell currency"),I203,"")</x:f>
      </x:c>
      <x:c r="U203" s="33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39"/>
      <x:c r="J204" s="6"/>
      <x:c r="K204" s="6"/>
      <x:c r="L204" s="6"/>
      <x:c r="M204" s="6"/>
      <x:c r="N204" s="6"/>
      <x:c r="O204" s="40"/>
      <x:c r="P204" s="6"/>
      <x:c r="Q204" s="33"/>
      <x:c r="R204" s="33"/>
      <x:c r="S204" s="44"/>
      <x:c r="T204" s="45" t="str">
        <x:f>IF(OR(F204="Buy currency",F204="Sell currency"),I204,"")</x:f>
      </x:c>
      <x:c r="U204" s="33"/>
    </x:row>
  </x:sheetData>
  <x:dataValidations count="11">
    <x:dataValidation type="list" sqref="C5:C204">
      <x:formula1>"Owner,Business Administrator,Manager,Accountant,Cashier,Compliance Officer,Viewer,First-time worker"</x:formula1>
    </x:dataValidation>
    <x:dataValidation type="list" sqref="D5:D204">
      <x:formula1>"English,Dari,Pashto"</x:formula1>
    </x:dataValidation>
    <x:dataValidation type="list" sqref="E5:E204">
      <x:formula1>"Desktop,Mobile 390,Mobile 360,Tablet"</x:formula1>
    </x:dataValidation>
    <x:dataValidation type="list" sqref="F5:F204">
      <x:formula1>"Find primary Home action,Buy currency,Sell currency,Receive customer money,Send Hawala,Settle debt,Review approval,Open daily summary,Review compliance case,Request business access"</x:formula1>
    </x:dataValidation>
    <x:dataValidation type="list" sqref="G5:H204">
      <x:formula1>"Yes,No"</x:formula1>
    </x:dataValidation>
    <x:dataValidation type="list" sqref="J5:K204">
      <x:formula1>"Yes,No,NA"</x:formula1>
    </x:dataValidation>
    <x:dataValidation type="list" sqref="L5:L204">
      <x:formula1>"Yes,No"</x:formula1>
    </x:dataValidation>
    <x:dataValidation type="list" sqref="M5:M204">
      <x:formula1>"None,Minor,Critical,NA"</x:formula1>
    </x:dataValidation>
    <x:dataValidation type="list" sqref="N5:N204">
      <x:formula1>"Yes,No"</x:formula1>
    </x:dataValidation>
    <x:dataValidation type="whole" operator="between" sqref="O5:O204">
      <x:formula1>1</x:formula1>
      <x:formula2>5</x:formula2>
    </x:dataValidation>
    <x:dataValidation type="whole" operator="between" sqref="P5:P204">
      <x:formula1>0</x:formula1>
      <x:formula2>20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6" hidden="0" customWidth="1"/>
    <x:col min="5" max="5" width="15" hidden="0" customWidth="1"/>
    <x:col min="6" max="6" width="24" hidden="0" customWidth="1"/>
    <x:col min="7" max="7" width="17" hidden="0" customWidth="1"/>
    <x:col min="8" max="8" width="16" hidden="0" customWidth="1"/>
    <x:col min="9" max="9" width="38" hidden="0" customWidth="1"/>
  </x:cols>
  <x:sheetData>
    <x:row r="1" ht="24" customHeight="1">
      <x:c r="A1" s="2" t="str">
        <x:v>Participants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3" t="str">
        <x:v>Use anonymous participant IDs. Record consent and role coverage before sessions begin.</x:v>
      </x:c>
      <x:c r="B2" s="3"/>
      <x:c r="C2" s="3"/>
      <x:c r="D2" s="3"/>
      <x:c r="E2" s="3"/>
      <x:c r="F2" s="3"/>
      <x:c r="G2" s="3"/>
      <x:c r="H2" s="3"/>
      <x:c r="I2" s="3"/>
    </x:row>
    <x:row r="4" ht="32" customHeight="1">
      <x:c r="A4" s="18" t="str">
        <x:v>Participant ID</x:v>
      </x:c>
      <x:c r="B4" s="19" t="str">
        <x:v>Role</x:v>
      </x:c>
      <x:c r="C4" s="19" t="str">
        <x:v>Experience</x:v>
      </x:c>
      <x:c r="D4" s="19" t="str">
        <x:v>Native language</x:v>
      </x:c>
      <x:c r="E4" s="19" t="str">
        <x:v>First-time user</x:v>
      </x:c>
      <x:c r="F4" s="19" t="str">
        <x:v>Native review assignment</x:v>
      </x:c>
      <x:c r="G4" s="19" t="str">
        <x:v>Consent obtained</x:v>
      </x:c>
      <x:c r="H4" s="19" t="str">
        <x:v>Sessions planned</x:v>
      </x:c>
      <x:c r="I4" s="20" t="str">
        <x:v>Notes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33"/>
    </x:row>
    <x:row r="6">
      <x:c r="A6" s="6"/>
      <x:c r="B6" s="6"/>
      <x:c r="C6" s="6"/>
      <x:c r="D6" s="6"/>
      <x:c r="E6" s="6"/>
      <x:c r="F6" s="6"/>
      <x:c r="G6" s="6"/>
      <x:c r="H6" s="6"/>
      <x:c r="I6" s="33"/>
    </x:row>
    <x:row r="7">
      <x:c r="A7" s="6"/>
      <x:c r="B7" s="6"/>
      <x:c r="C7" s="6"/>
      <x:c r="D7" s="6"/>
      <x:c r="E7" s="6"/>
      <x:c r="F7" s="6"/>
      <x:c r="G7" s="6"/>
      <x:c r="H7" s="6"/>
      <x:c r="I7" s="33"/>
    </x:row>
    <x:row r="8">
      <x:c r="A8" s="6"/>
      <x:c r="B8" s="6"/>
      <x:c r="C8" s="6"/>
      <x:c r="D8" s="6"/>
      <x:c r="E8" s="6"/>
      <x:c r="F8" s="6"/>
      <x:c r="G8" s="6"/>
      <x:c r="H8" s="6"/>
      <x:c r="I8" s="33"/>
    </x:row>
    <x:row r="9">
      <x:c r="A9" s="6"/>
      <x:c r="B9" s="6"/>
      <x:c r="C9" s="6"/>
      <x:c r="D9" s="6"/>
      <x:c r="E9" s="6"/>
      <x:c r="F9" s="6"/>
      <x:c r="G9" s="6"/>
      <x:c r="H9" s="6"/>
      <x:c r="I9" s="33"/>
    </x:row>
    <x:row r="10">
      <x:c r="A10" s="6"/>
      <x:c r="B10" s="6"/>
      <x:c r="C10" s="6"/>
      <x:c r="D10" s="6"/>
      <x:c r="E10" s="6"/>
      <x:c r="F10" s="6"/>
      <x:c r="G10" s="6"/>
      <x:c r="H10" s="6"/>
      <x:c r="I10" s="33"/>
    </x:row>
    <x:row r="11">
      <x:c r="A11" s="6"/>
      <x:c r="B11" s="6"/>
      <x:c r="C11" s="6"/>
      <x:c r="D11" s="6"/>
      <x:c r="E11" s="6"/>
      <x:c r="F11" s="6"/>
      <x:c r="G11" s="6"/>
      <x:c r="H11" s="6"/>
      <x:c r="I11" s="33"/>
    </x:row>
    <x:row r="12">
      <x:c r="A12" s="6"/>
      <x:c r="B12" s="6"/>
      <x:c r="C12" s="6"/>
      <x:c r="D12" s="6"/>
      <x:c r="E12" s="6"/>
      <x:c r="F12" s="6"/>
      <x:c r="G12" s="6"/>
      <x:c r="H12" s="6"/>
      <x:c r="I12" s="33"/>
    </x:row>
    <x:row r="13">
      <x:c r="A13" s="6"/>
      <x:c r="B13" s="6"/>
      <x:c r="C13" s="6"/>
      <x:c r="D13" s="6"/>
      <x:c r="E13" s="6"/>
      <x:c r="F13" s="6"/>
      <x:c r="G13" s="6"/>
      <x:c r="H13" s="6"/>
      <x:c r="I13" s="33"/>
    </x:row>
    <x:row r="14">
      <x:c r="A14" s="6"/>
      <x:c r="B14" s="6"/>
      <x:c r="C14" s="6"/>
      <x:c r="D14" s="6"/>
      <x:c r="E14" s="6"/>
      <x:c r="F14" s="6"/>
      <x:c r="G14" s="6"/>
      <x:c r="H14" s="6"/>
      <x:c r="I14" s="33"/>
    </x:row>
    <x:row r="15">
      <x:c r="A15" s="6"/>
      <x:c r="B15" s="6"/>
      <x:c r="C15" s="6"/>
      <x:c r="D15" s="6"/>
      <x:c r="E15" s="6"/>
      <x:c r="F15" s="6"/>
      <x:c r="G15" s="6"/>
      <x:c r="H15" s="6"/>
      <x:c r="I15" s="33"/>
    </x:row>
    <x:row r="16">
      <x:c r="A16" s="6"/>
      <x:c r="B16" s="6"/>
      <x:c r="C16" s="6"/>
      <x:c r="D16" s="6"/>
      <x:c r="E16" s="6"/>
      <x:c r="F16" s="6"/>
      <x:c r="G16" s="6"/>
      <x:c r="H16" s="6"/>
      <x:c r="I16" s="33"/>
    </x:row>
    <x:row r="17">
      <x:c r="A17" s="6"/>
      <x:c r="B17" s="6"/>
      <x:c r="C17" s="6"/>
      <x:c r="D17" s="6"/>
      <x:c r="E17" s="6"/>
      <x:c r="F17" s="6"/>
      <x:c r="G17" s="6"/>
      <x:c r="H17" s="6"/>
      <x:c r="I17" s="33"/>
    </x:row>
    <x:row r="18">
      <x:c r="A18" s="6"/>
      <x:c r="B18" s="6"/>
      <x:c r="C18" s="6"/>
      <x:c r="D18" s="6"/>
      <x:c r="E18" s="6"/>
      <x:c r="F18" s="6"/>
      <x:c r="G18" s="6"/>
      <x:c r="H18" s="6"/>
      <x:c r="I18" s="33"/>
    </x:row>
    <x:row r="19">
      <x:c r="A19" s="6"/>
      <x:c r="B19" s="6"/>
      <x:c r="C19" s="6"/>
      <x:c r="D19" s="6"/>
      <x:c r="E19" s="6"/>
      <x:c r="F19" s="6"/>
      <x:c r="G19" s="6"/>
      <x:c r="H19" s="6"/>
      <x:c r="I19" s="33"/>
    </x:row>
    <x:row r="20">
      <x:c r="A20" s="6"/>
      <x:c r="B20" s="6"/>
      <x:c r="C20" s="6"/>
      <x:c r="D20" s="6"/>
      <x:c r="E20" s="6"/>
      <x:c r="F20" s="6"/>
      <x:c r="G20" s="6"/>
      <x:c r="H20" s="6"/>
      <x:c r="I20" s="33"/>
    </x:row>
    <x:row r="21">
      <x:c r="A21" s="6"/>
      <x:c r="B21" s="6"/>
      <x:c r="C21" s="6"/>
      <x:c r="D21" s="6"/>
      <x:c r="E21" s="6"/>
      <x:c r="F21" s="6"/>
      <x:c r="G21" s="6"/>
      <x:c r="H21" s="6"/>
      <x:c r="I21" s="33"/>
    </x:row>
    <x:row r="22">
      <x:c r="A22" s="6"/>
      <x:c r="B22" s="6"/>
      <x:c r="C22" s="6"/>
      <x:c r="D22" s="6"/>
      <x:c r="E22" s="6"/>
      <x:c r="F22" s="6"/>
      <x:c r="G22" s="6"/>
      <x:c r="H22" s="6"/>
      <x:c r="I22" s="33"/>
    </x:row>
    <x:row r="23">
      <x:c r="A23" s="6"/>
      <x:c r="B23" s="6"/>
      <x:c r="C23" s="6"/>
      <x:c r="D23" s="6"/>
      <x:c r="E23" s="6"/>
      <x:c r="F23" s="6"/>
      <x:c r="G23" s="6"/>
      <x:c r="H23" s="6"/>
      <x:c r="I23" s="33"/>
    </x:row>
    <x:row r="24">
      <x:c r="A24" s="6"/>
      <x:c r="B24" s="6"/>
      <x:c r="C24" s="6"/>
      <x:c r="D24" s="6"/>
      <x:c r="E24" s="6"/>
      <x:c r="F24" s="6"/>
      <x:c r="G24" s="6"/>
      <x:c r="H24" s="6"/>
      <x:c r="I24" s="33"/>
    </x:row>
    <x:row r="25">
      <x:c r="A25" s="6"/>
      <x:c r="B25" s="6"/>
      <x:c r="C25" s="6"/>
      <x:c r="D25" s="6"/>
      <x:c r="E25" s="6"/>
      <x:c r="F25" s="6"/>
      <x:c r="G25" s="6"/>
      <x:c r="H25" s="6"/>
      <x:c r="I25" s="33"/>
    </x:row>
    <x:row r="26">
      <x:c r="A26" s="6"/>
      <x:c r="B26" s="6"/>
      <x:c r="C26" s="6"/>
      <x:c r="D26" s="6"/>
      <x:c r="E26" s="6"/>
      <x:c r="F26" s="6"/>
      <x:c r="G26" s="6"/>
      <x:c r="H26" s="6"/>
      <x:c r="I26" s="33"/>
    </x:row>
    <x:row r="27">
      <x:c r="A27" s="6"/>
      <x:c r="B27" s="6"/>
      <x:c r="C27" s="6"/>
      <x:c r="D27" s="6"/>
      <x:c r="E27" s="6"/>
      <x:c r="F27" s="6"/>
      <x:c r="G27" s="6"/>
      <x:c r="H27" s="6"/>
      <x:c r="I27" s="33"/>
    </x:row>
    <x:row r="28">
      <x:c r="A28" s="6"/>
      <x:c r="B28" s="6"/>
      <x:c r="C28" s="6"/>
      <x:c r="D28" s="6"/>
      <x:c r="E28" s="6"/>
      <x:c r="F28" s="6"/>
      <x:c r="G28" s="6"/>
      <x:c r="H28" s="6"/>
      <x:c r="I28" s="33"/>
    </x:row>
    <x:row r="29">
      <x:c r="A29" s="6"/>
      <x:c r="B29" s="6"/>
      <x:c r="C29" s="6"/>
      <x:c r="D29" s="6"/>
      <x:c r="E29" s="6"/>
      <x:c r="F29" s="6"/>
      <x:c r="G29" s="6"/>
      <x:c r="H29" s="6"/>
      <x:c r="I29" s="33"/>
    </x:row>
    <x:row r="30">
      <x:c r="A30" s="6"/>
      <x:c r="B30" s="6"/>
      <x:c r="C30" s="6"/>
      <x:c r="D30" s="6"/>
      <x:c r="E30" s="6"/>
      <x:c r="F30" s="6"/>
      <x:c r="G30" s="6"/>
      <x:c r="H30" s="6"/>
      <x:c r="I30" s="33"/>
    </x:row>
    <x:row r="31">
      <x:c r="A31" s="6"/>
      <x:c r="B31" s="6"/>
      <x:c r="C31" s="6"/>
      <x:c r="D31" s="6"/>
      <x:c r="E31" s="6"/>
      <x:c r="F31" s="6"/>
      <x:c r="G31" s="6"/>
      <x:c r="H31" s="6"/>
      <x:c r="I31" s="33"/>
    </x:row>
    <x:row r="32">
      <x:c r="A32" s="6"/>
      <x:c r="B32" s="6"/>
      <x:c r="C32" s="6"/>
      <x:c r="D32" s="6"/>
      <x:c r="E32" s="6"/>
      <x:c r="F32" s="6"/>
      <x:c r="G32" s="6"/>
      <x:c r="H32" s="6"/>
      <x:c r="I32" s="33"/>
    </x:row>
    <x:row r="33">
      <x:c r="A33" s="6"/>
      <x:c r="B33" s="6"/>
      <x:c r="C33" s="6"/>
      <x:c r="D33" s="6"/>
      <x:c r="E33" s="6"/>
      <x:c r="F33" s="6"/>
      <x:c r="G33" s="6"/>
      <x:c r="H33" s="6"/>
      <x:c r="I33" s="33"/>
    </x:row>
    <x:row r="34">
      <x:c r="A34" s="6"/>
      <x:c r="B34" s="6"/>
      <x:c r="C34" s="6"/>
      <x:c r="D34" s="6"/>
      <x:c r="E34" s="6"/>
      <x:c r="F34" s="6"/>
      <x:c r="G34" s="6"/>
      <x:c r="H34" s="6"/>
      <x:c r="I34" s="33"/>
    </x:row>
  </x:sheetData>
  <x:dataValidations count="7">
    <x:dataValidation type="list" sqref="B5:B34">
      <x:formula1>"Owner,Business Administrator,Manager,Accountant,Cashier,Compliance Officer,Viewer,Other"</x:formula1>
    </x:dataValidation>
    <x:dataValidation type="list" sqref="C5:C34">
      <x:formula1>"Experienced,Trained,New"</x:formula1>
    </x:dataValidation>
    <x:dataValidation type="list" sqref="D5:D34">
      <x:formula1>"Dari,Pashto,Other"</x:formula1>
    </x:dataValidation>
    <x:dataValidation type="list" sqref="E5:E34">
      <x:formula1>"Yes,No"</x:formula1>
    </x:dataValidation>
    <x:dataValidation type="list" sqref="F5:F34">
      <x:formula1>"Dari,Pashto,None"</x:formula1>
    </x:dataValidation>
    <x:dataValidation type="list" sqref="G5:G34">
      <x:formula1>"Yes,No"</x:formula1>
    </x:dataValidation>
    <x:dataValidation type="whole" operator="between" sqref="H5:H34">
      <x:formula1>1</x:formula1>
      <x:formula2>20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21" hidden="0" customWidth="1"/>
    <x:col min="5" max="5" width="34" hidden="0" customWidth="1"/>
    <x:col min="6" max="6" width="34" hidden="0" customWidth="1"/>
    <x:col min="7" max="7" width="11" hidden="0" customWidth="1"/>
    <x:col min="8" max="8" width="11" hidden="0" customWidth="1"/>
    <x:col min="9" max="9" width="20" hidden="0" customWidth="1"/>
    <x:col min="10" max="10" width="13" hidden="0" customWidth="1"/>
    <x:col min="11" max="11" width="34" hidden="0" customWidth="1"/>
    <x:col min="12" max="12" width="17" hidden="0" customWidth="1"/>
    <x:col min="13" max="13" width="28" hidden="0" customWidth="1"/>
  </x:cols>
  <x:sheetData>
    <x:row r="1" ht="24" customHeight="1">
      <x:c r="A1" s="2" t="str">
        <x:v>Language review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3" t="str">
        <x:v>Native reviewers assess meaning, natural wording, direction, and amount presentation.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 ht="32" customHeight="1">
      <x:c r="A4" s="18" t="str">
        <x:v>Review ID</x:v>
      </x:c>
      <x:c r="B4" s="19" t="str">
        <x:v>Participant ID</x:v>
      </x:c>
      <x:c r="C4" s="19" t="str">
        <x:v>Language</x:v>
      </x:c>
      <x:c r="D4" s="19" t="str">
        <x:v>Scope</x:v>
      </x:c>
      <x:c r="E4" s="19" t="str">
        <x:v>English source</x:v>
      </x:c>
      <x:c r="F4" s="19" t="str">
        <x:v>Localized text</x:v>
      </x:c>
      <x:c r="G4" s="19" t="str">
        <x:v>Accurate</x:v>
      </x:c>
      <x:c r="H4" s="19" t="str">
        <x:v>Natural</x:v>
      </x:c>
      <x:c r="I4" s="19" t="str">
        <x:v>Direction and amount correct</x:v>
      </x:c>
      <x:c r="J4" s="19" t="str">
        <x:v>Severity</x:v>
      </x:c>
      <x:c r="K4" s="19" t="str">
        <x:v>Suggested wording</x:v>
      </x:c>
      <x:c r="L4" s="19" t="str">
        <x:v>Decision</x:v>
      </x:c>
      <x:c r="M4" s="20" t="str">
        <x:v>Evidence link</x:v>
      </x:c>
    </x:row>
    <x:row r="5">
      <x:c r="A5" s="6"/>
      <x:c r="B5" s="6"/>
      <x:c r="C5" s="6"/>
      <x:c r="D5" s="33"/>
      <x:c r="E5" s="33"/>
      <x:c r="F5" s="33"/>
      <x:c r="G5" s="33"/>
      <x:c r="H5" s="33"/>
      <x:c r="I5" s="33"/>
      <x:c r="J5" s="33"/>
      <x:c r="K5" s="33"/>
      <x:c r="L5" s="33"/>
      <x:c r="M5" s="33"/>
    </x:row>
    <x:row r="6">
      <x:c r="A6" s="6"/>
      <x:c r="B6" s="6"/>
      <x:c r="C6" s="6"/>
      <x:c r="D6" s="33"/>
      <x:c r="E6" s="33"/>
      <x:c r="F6" s="33"/>
      <x:c r="G6" s="33"/>
      <x:c r="H6" s="33"/>
      <x:c r="I6" s="33"/>
      <x:c r="J6" s="33"/>
      <x:c r="K6" s="33"/>
      <x:c r="L6" s="33"/>
      <x:c r="M6" s="33"/>
    </x:row>
    <x:row r="7">
      <x:c r="A7" s="6"/>
      <x:c r="B7" s="6"/>
      <x:c r="C7" s="6"/>
      <x:c r="D7" s="33"/>
      <x:c r="E7" s="33"/>
      <x:c r="F7" s="33"/>
      <x:c r="G7" s="33"/>
      <x:c r="H7" s="33"/>
      <x:c r="I7" s="33"/>
      <x:c r="J7" s="33"/>
      <x:c r="K7" s="33"/>
      <x:c r="L7" s="33"/>
      <x:c r="M7" s="33"/>
    </x:row>
    <x:row r="8">
      <x:c r="A8" s="6"/>
      <x:c r="B8" s="6"/>
      <x:c r="C8" s="6"/>
      <x:c r="D8" s="33"/>
      <x:c r="E8" s="33"/>
      <x:c r="F8" s="33"/>
      <x:c r="G8" s="33"/>
      <x:c r="H8" s="33"/>
      <x:c r="I8" s="33"/>
      <x:c r="J8" s="33"/>
      <x:c r="K8" s="33"/>
      <x:c r="L8" s="33"/>
      <x:c r="M8" s="33"/>
    </x:row>
    <x:row r="9">
      <x:c r="A9" s="6"/>
      <x:c r="B9" s="6"/>
      <x:c r="C9" s="6"/>
      <x:c r="D9" s="33"/>
      <x:c r="E9" s="33"/>
      <x:c r="F9" s="33"/>
      <x:c r="G9" s="33"/>
      <x:c r="H9" s="33"/>
      <x:c r="I9" s="33"/>
      <x:c r="J9" s="33"/>
      <x:c r="K9" s="33"/>
      <x:c r="L9" s="33"/>
      <x:c r="M9" s="33"/>
    </x:row>
    <x:row r="10">
      <x:c r="A10" s="6"/>
      <x:c r="B10" s="6"/>
      <x:c r="C10" s="6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</x:row>
    <x:row r="11">
      <x:c r="A11" s="6"/>
      <x:c r="B11" s="6"/>
      <x:c r="C11" s="6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</x:row>
    <x:row r="12">
      <x:c r="A12" s="6"/>
      <x:c r="B12" s="6"/>
      <x:c r="C12" s="6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</x:row>
    <x:row r="13">
      <x:c r="A13" s="6"/>
      <x:c r="B13" s="6"/>
      <x:c r="C13" s="6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</x:row>
    <x:row r="14">
      <x:c r="A14" s="6"/>
      <x:c r="B14" s="6"/>
      <x:c r="C14" s="6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</x:row>
    <x:row r="15">
      <x:c r="A15" s="6"/>
      <x:c r="B15" s="6"/>
      <x:c r="C15" s="6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</x:row>
    <x:row r="16">
      <x:c r="A16" s="6"/>
      <x:c r="B16" s="6"/>
      <x:c r="C16" s="6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</x:row>
    <x:row r="17">
      <x:c r="A17" s="6"/>
      <x:c r="B17" s="6"/>
      <x:c r="C17" s="6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>
      <x:c r="A18" s="6"/>
      <x:c r="B18" s="6"/>
      <x:c r="C18" s="6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</x:row>
    <x:row r="19">
      <x:c r="A19" s="6"/>
      <x:c r="B19" s="6"/>
      <x:c r="C19" s="6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</x:row>
    <x:row r="20">
      <x:c r="A20" s="6"/>
      <x:c r="B20" s="6"/>
      <x:c r="C20" s="6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</x:row>
    <x:row r="21">
      <x:c r="A21" s="6"/>
      <x:c r="B21" s="6"/>
      <x:c r="C21" s="6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</x:row>
    <x:row r="22">
      <x:c r="A22" s="6"/>
      <x:c r="B22" s="6"/>
      <x:c r="C22" s="6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</x:row>
    <x:row r="23">
      <x:c r="A23" s="6"/>
      <x:c r="B23" s="6"/>
      <x:c r="C23" s="6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</x:row>
    <x:row r="24">
      <x:c r="A24" s="6"/>
      <x:c r="B24" s="6"/>
      <x:c r="C24" s="6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</x:row>
    <x:row r="25">
      <x:c r="A25" s="6"/>
      <x:c r="B25" s="6"/>
      <x:c r="C25" s="6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</x:row>
    <x:row r="26">
      <x:c r="A26" s="6"/>
      <x:c r="B26" s="6"/>
      <x:c r="C26" s="6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</x:row>
    <x:row r="27">
      <x:c r="A27" s="6"/>
      <x:c r="B27" s="6"/>
      <x:c r="C27" s="6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</x:row>
    <x:row r="28">
      <x:c r="A28" s="6"/>
      <x:c r="B28" s="6"/>
      <x:c r="C28" s="6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</x:row>
    <x:row r="29">
      <x:c r="A29" s="6"/>
      <x:c r="B29" s="6"/>
      <x:c r="C29" s="6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</x:row>
    <x:row r="30">
      <x:c r="A30" s="6"/>
      <x:c r="B30" s="6"/>
      <x:c r="C30" s="6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</x:row>
    <x:row r="31">
      <x:c r="A31" s="6"/>
      <x:c r="B31" s="6"/>
      <x:c r="C31" s="6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</x:row>
    <x:row r="32">
      <x:c r="A32" s="6"/>
      <x:c r="B32" s="6"/>
      <x:c r="C32" s="6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</x:row>
    <x:row r="33">
      <x:c r="A33" s="6"/>
      <x:c r="B33" s="6"/>
      <x:c r="C33" s="6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</x:row>
    <x:row r="34">
      <x:c r="A34" s="6"/>
      <x:c r="B34" s="6"/>
      <x:c r="C34" s="6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</x:row>
    <x:row r="35">
      <x:c r="A35" s="6"/>
      <x:c r="B35" s="6"/>
      <x:c r="C35" s="6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</x:row>
    <x:row r="36">
      <x:c r="A36" s="6"/>
      <x:c r="B36" s="6"/>
      <x:c r="C36" s="6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</x:row>
    <x:row r="37">
      <x:c r="A37" s="6"/>
      <x:c r="B37" s="6"/>
      <x:c r="C37" s="6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</x:row>
    <x:row r="38">
      <x:c r="A38" s="6"/>
      <x:c r="B38" s="6"/>
      <x:c r="C38" s="6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</x:row>
    <x:row r="39">
      <x:c r="A39" s="6"/>
      <x:c r="B39" s="6"/>
      <x:c r="C39" s="6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</x:row>
    <x:row r="40">
      <x:c r="A40" s="6"/>
      <x:c r="B40" s="6"/>
      <x:c r="C40" s="6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</x:row>
    <x:row r="41">
      <x:c r="A41" s="6"/>
      <x:c r="B41" s="6"/>
      <x:c r="C41" s="6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</x:row>
    <x:row r="42">
      <x:c r="A42" s="6"/>
      <x:c r="B42" s="6"/>
      <x:c r="C42" s="6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</x:row>
    <x:row r="43">
      <x:c r="A43" s="6"/>
      <x:c r="B43" s="6"/>
      <x:c r="C43" s="6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</x:row>
    <x:row r="44">
      <x:c r="A44" s="6"/>
      <x:c r="B44" s="6"/>
      <x:c r="C44" s="6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</x:row>
    <x:row r="45">
      <x:c r="A45" s="6"/>
      <x:c r="B45" s="6"/>
      <x:c r="C45" s="6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</x:row>
    <x:row r="46">
      <x:c r="A46" s="6"/>
      <x:c r="B46" s="6"/>
      <x:c r="C46" s="6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</x:row>
    <x:row r="47">
      <x:c r="A47" s="6"/>
      <x:c r="B47" s="6"/>
      <x:c r="C47" s="6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</x:row>
    <x:row r="48">
      <x:c r="A48" s="6"/>
      <x:c r="B48" s="6"/>
      <x:c r="C48" s="6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</x:row>
    <x:row r="49">
      <x:c r="A49" s="6"/>
      <x:c r="B49" s="6"/>
      <x:c r="C49" s="6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</x:row>
    <x:row r="50">
      <x:c r="A50" s="6"/>
      <x:c r="B50" s="6"/>
      <x:c r="C50" s="6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</x:row>
    <x:row r="51">
      <x:c r="A51" s="6"/>
      <x:c r="B51" s="6"/>
      <x:c r="C51" s="6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</x:row>
    <x:row r="52">
      <x:c r="A52" s="6"/>
      <x:c r="B52" s="6"/>
      <x:c r="C52" s="6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</x:row>
    <x:row r="53">
      <x:c r="A53" s="6"/>
      <x:c r="B53" s="6"/>
      <x:c r="C53" s="6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</x:row>
    <x:row r="54">
      <x:c r="A54" s="6"/>
      <x:c r="B54" s="6"/>
      <x:c r="C54" s="6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</x:row>
    <x:row r="55">
      <x:c r="A55" s="6"/>
      <x:c r="B55" s="6"/>
      <x:c r="C55" s="6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</x:row>
    <x:row r="56">
      <x:c r="A56" s="6"/>
      <x:c r="B56" s="6"/>
      <x:c r="C56" s="6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</x:row>
    <x:row r="57">
      <x:c r="A57" s="6"/>
      <x:c r="B57" s="6"/>
      <x:c r="C57" s="6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</x:row>
    <x:row r="58">
      <x:c r="A58" s="6"/>
      <x:c r="B58" s="6"/>
      <x:c r="C58" s="6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</x:row>
    <x:row r="59">
      <x:c r="A59" s="6"/>
      <x:c r="B59" s="6"/>
      <x:c r="C59" s="6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</x:row>
    <x:row r="60">
      <x:c r="A60" s="6"/>
      <x:c r="B60" s="6"/>
      <x:c r="C60" s="6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</x:row>
    <x:row r="61">
      <x:c r="A61" s="6"/>
      <x:c r="B61" s="6"/>
      <x:c r="C61" s="6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</x:row>
    <x:row r="62">
      <x:c r="A62" s="6"/>
      <x:c r="B62" s="6"/>
      <x:c r="C62" s="6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</x:row>
    <x:row r="63">
      <x:c r="A63" s="6"/>
      <x:c r="B63" s="6"/>
      <x:c r="C63" s="6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</x:row>
    <x:row r="64">
      <x:c r="A64" s="6"/>
      <x:c r="B64" s="6"/>
      <x:c r="C64" s="6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</x:row>
    <x:row r="65">
      <x:c r="A65" s="6"/>
      <x:c r="B65" s="6"/>
      <x:c r="C65" s="6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</x:row>
    <x:row r="66">
      <x:c r="A66" s="6"/>
      <x:c r="B66" s="6"/>
      <x:c r="C66" s="6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</x:row>
    <x:row r="67">
      <x:c r="A67" s="6"/>
      <x:c r="B67" s="6"/>
      <x:c r="C67" s="6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</x:row>
    <x:row r="68">
      <x:c r="A68" s="6"/>
      <x:c r="B68" s="6"/>
      <x:c r="C68" s="6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</x:row>
    <x:row r="69">
      <x:c r="A69" s="6"/>
      <x:c r="B69" s="6"/>
      <x:c r="C69" s="6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</x:row>
    <x:row r="70">
      <x:c r="A70" s="6"/>
      <x:c r="B70" s="6"/>
      <x:c r="C70" s="6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</x:row>
    <x:row r="71">
      <x:c r="A71" s="6"/>
      <x:c r="B71" s="6"/>
      <x:c r="C71" s="6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</x:row>
    <x:row r="72">
      <x:c r="A72" s="6"/>
      <x:c r="B72" s="6"/>
      <x:c r="C72" s="6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</x:row>
    <x:row r="73">
      <x:c r="A73" s="6"/>
      <x:c r="B73" s="6"/>
      <x:c r="C73" s="6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</x:row>
    <x:row r="74">
      <x:c r="A74" s="6"/>
      <x:c r="B74" s="6"/>
      <x:c r="C74" s="6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</x:row>
    <x:row r="75">
      <x:c r="A75" s="6"/>
      <x:c r="B75" s="6"/>
      <x:c r="C75" s="6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</x:row>
    <x:row r="76">
      <x:c r="A76" s="6"/>
      <x:c r="B76" s="6"/>
      <x:c r="C76" s="6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</x:row>
    <x:row r="77">
      <x:c r="A77" s="6"/>
      <x:c r="B77" s="6"/>
      <x:c r="C77" s="6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</x:row>
    <x:row r="78">
      <x:c r="A78" s="6"/>
      <x:c r="B78" s="6"/>
      <x:c r="C78" s="6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</x:row>
    <x:row r="79">
      <x:c r="A79" s="6"/>
      <x:c r="B79" s="6"/>
      <x:c r="C79" s="6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</x:row>
    <x:row r="80">
      <x:c r="A80" s="6"/>
      <x:c r="B80" s="6"/>
      <x:c r="C80" s="6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</x:row>
    <x:row r="81">
      <x:c r="A81" s="6"/>
      <x:c r="B81" s="6"/>
      <x:c r="C81" s="6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</x:row>
    <x:row r="82">
      <x:c r="A82" s="6"/>
      <x:c r="B82" s="6"/>
      <x:c r="C82" s="6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</x:row>
    <x:row r="83">
      <x:c r="A83" s="6"/>
      <x:c r="B83" s="6"/>
      <x:c r="C83" s="6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</x:row>
    <x:row r="84">
      <x:c r="A84" s="6"/>
      <x:c r="B84" s="6"/>
      <x:c r="C84" s="6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</x:row>
    <x:row r="85">
      <x:c r="A85" s="6"/>
      <x:c r="B85" s="6"/>
      <x:c r="C85" s="6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</x:row>
    <x:row r="86">
      <x:c r="A86" s="6"/>
      <x:c r="B86" s="6"/>
      <x:c r="C86" s="6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</x:row>
    <x:row r="87">
      <x:c r="A87" s="6"/>
      <x:c r="B87" s="6"/>
      <x:c r="C87" s="6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</x:row>
    <x:row r="88">
      <x:c r="A88" s="6"/>
      <x:c r="B88" s="6"/>
      <x:c r="C88" s="6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</x:row>
    <x:row r="89">
      <x:c r="A89" s="6"/>
      <x:c r="B89" s="6"/>
      <x:c r="C89" s="6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</x:row>
    <x:row r="90">
      <x:c r="A90" s="6"/>
      <x:c r="B90" s="6"/>
      <x:c r="C90" s="6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</x:row>
    <x:row r="91">
      <x:c r="A91" s="6"/>
      <x:c r="B91" s="6"/>
      <x:c r="C91" s="6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</x:row>
    <x:row r="92">
      <x:c r="A92" s="6"/>
      <x:c r="B92" s="6"/>
      <x:c r="C92" s="6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</x:row>
    <x:row r="93">
      <x:c r="A93" s="6"/>
      <x:c r="B93" s="6"/>
      <x:c r="C93" s="6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</x:row>
    <x:row r="94">
      <x:c r="A94" s="6"/>
      <x:c r="B94" s="6"/>
      <x:c r="C94" s="6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</x:row>
    <x:row r="95">
      <x:c r="A95" s="6"/>
      <x:c r="B95" s="6"/>
      <x:c r="C95" s="6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</x:row>
    <x:row r="96">
      <x:c r="A96" s="6"/>
      <x:c r="B96" s="6"/>
      <x:c r="C96" s="6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</x:row>
    <x:row r="97">
      <x:c r="A97" s="6"/>
      <x:c r="B97" s="6"/>
      <x:c r="C97" s="6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</x:row>
    <x:row r="98">
      <x:c r="A98" s="6"/>
      <x:c r="B98" s="6"/>
      <x:c r="C98" s="6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</x:row>
    <x:row r="99">
      <x:c r="A99" s="6"/>
      <x:c r="B99" s="6"/>
      <x:c r="C99" s="6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</x:row>
    <x:row r="100">
      <x:c r="A100" s="6"/>
      <x:c r="B100" s="6"/>
      <x:c r="C100" s="6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</x:row>
    <x:row r="101">
      <x:c r="A101" s="6"/>
      <x:c r="B101" s="6"/>
      <x:c r="C101" s="6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</x:row>
    <x:row r="102">
      <x:c r="A102" s="6"/>
      <x:c r="B102" s="6"/>
      <x:c r="C102" s="6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</x:row>
    <x:row r="103">
      <x:c r="A103" s="6"/>
      <x:c r="B103" s="6"/>
      <x:c r="C103" s="6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</x:row>
    <x:row r="104">
      <x:c r="A104" s="6"/>
      <x:c r="B104" s="6"/>
      <x:c r="C104" s="6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</x:row>
  </x:sheetData>
  <x:dataValidations count="5">
    <x:dataValidation type="list" sqref="C5:C104">
      <x:formula1>"Dari,Pashto"</x:formula1>
    </x:dataValidation>
    <x:dataValidation type="list" sqref="D5:D104">
      <x:formula1>"Home,Transaction entry,Buy,Sell,Receive,Hawala,Debt settlement,Reports,Manage SARAFI,Error message,Final sign-off"</x:formula1>
    </x:dataValidation>
    <x:dataValidation type="list" sqref="G5:I104">
      <x:formula1>"Yes,No,NA"</x:formula1>
    </x:dataValidation>
    <x:dataValidation type="list" sqref="J5:J104">
      <x:formula1>"None,Minor,Major,Critical"</x:formula1>
    </x:dataValidation>
    <x:dataValidation type="list" sqref="L5:L104">
      <x:formula1>"Approved,Change required"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48" hidden="0" customWidth="1"/>
    <x:col min="3" max="3" width="28" hidden="0" customWidth="1"/>
    <x:col min="4" max="4" width="25" hidden="0" customWidth="1"/>
    <x:col min="5" max="5" width="30" hidden="0" customWidth="1"/>
    <x:col min="6" max="6" width="34" hidden="0" customWidth="1"/>
  </x:cols>
  <x:sheetData>
    <x:row r="1" ht="24" customHeight="1">
      <x:c r="A1" s="2" t="str">
        <x:v>UAT protocol</x:v>
      </x:c>
      <x:c r="B1" s="1"/>
      <x:c r="C1" s="1"/>
      <x:c r="D1" s="1"/>
      <x:c r="E1" s="1"/>
      <x:c r="F1" s="1"/>
    </x:row>
    <x:row r="2" ht="24" customHeight="1">
      <x:c r="A2" s="3" t="str">
        <x:v>Use the exact candidate artifact and neutral facilitation. Never enter real customer or financial data.</x:v>
      </x:c>
      <x:c r="B2" s="3"/>
      <x:c r="C2" s="3"/>
      <x:c r="D2" s="3"/>
      <x:c r="E2" s="3"/>
      <x:c r="F2" s="3"/>
    </x:row>
    <x:row r="4" ht="32" customHeight="1">
      <x:c r="A4" s="18" t="str">
        <x:v>Step</x:v>
      </x:c>
      <x:c r="B4" s="19" t="str">
        <x:v>Facilitator action</x:v>
      </x:c>
      <x:c r="C4" s="19" t="str">
        <x:v>Required evidence</x:v>
      </x:c>
      <x:c r="D4" s="19" t="str">
        <x:v>Start</x:v>
      </x:c>
      <x:c r="E4" s="19" t="str">
        <x:v>Finish</x:v>
      </x:c>
      <x:c r="F4" s="20" t="str">
        <x:v>Rule</x:v>
      </x:c>
    </x:row>
    <x:row r="5">
      <x:c r="A5" s="46" t="n">
        <x:v>1</x:v>
      </x:c>
      <x:c r="B5" s="47" t="str">
        <x:v>Confirm the candidate commit, preview URL, database migration, and test accounts.</x:v>
      </x:c>
      <x:c r="C5" s="47" t="str">
        <x:v>Release Summary metadata</x:v>
      </x:c>
      <x:c r="D5" s="47" t="str">
        <x:v>Before participant arrives</x:v>
      </x:c>
      <x:c r="E5" s="47" t="str">
        <x:v>Environment loads</x:v>
      </x:c>
      <x:c r="F5" s="47" t="str">
        <x:v>Do not use production customer data</x:v>
      </x:c>
    </x:row>
    <x:row r="6">
      <x:c r="A6" s="46" t="n">
        <x:v>2</x:v>
      </x:c>
      <x:c r="B6" s="47" t="str">
        <x:v>Assign an anonymous participant ID and record role, experience, language, and consent.</x:v>
      </x:c>
      <x:c r="C6" s="47" t="str">
        <x:v>Participants row</x:v>
      </x:c>
      <x:c r="D6" s="47" t="str">
        <x:v>Participant briefing</x:v>
      </x:c>
      <x:c r="E6" s="47" t="str">
        <x:v>Consent recorded</x:v>
      </x:c>
      <x:c r="F6" s="47" t="str">
        <x:v>No personal identifiers in notes</x:v>
      </x:c>
    </x:row>
    <x:row r="7">
      <x:c r="A7" s="46" t="n">
        <x:v>3</x:v>
      </x:c>
      <x:c r="B7" s="47" t="str">
        <x:v>Read the task exactly as written. Do not explain navigation or accounting terms.</x:v>
      </x:c>
      <x:c r="C7" s="47" t="str">
        <x:v>Task Sessions row</x:v>
      </x:c>
      <x:c r="D7" s="47" t="str">
        <x:v>Role Home primary action</x:v>
      </x:c>
      <x:c r="E7" s="47" t="str">
        <x:v>Form ready for review or destination loaded</x:v>
      </x:c>
      <x:c r="F7" s="47" t="str">
        <x:v>Mark unsuccessful if coaching is needed</x:v>
      </x:c>
    </x:row>
    <x:row r="8">
      <x:c r="A8" s="46" t="n">
        <x:v>4</x:v>
      </x:c>
      <x:c r="B8" s="47" t="str">
        <x:v>Record success, seconds, errors, confusion, Rate visits, technical questions, and ease immediately.</x:v>
      </x:c>
      <x:c r="C8" s="47" t="str">
        <x:v>Completed Task Sessions row</x:v>
      </x:c>
      <x:c r="D8" s="47" t="str">
        <x:v>Timer starts</x:v>
      </x:c>
      <x:c r="E8" s="47" t="str">
        <x:v>Participant states task is complete</x:v>
      </x:c>
      <x:c r="F8" s="47" t="str">
        <x:v>Ease uses 1 very difficult to 5 very easy</x:v>
      </x:c>
    </x:row>
    <x:row r="9">
      <x:c r="A9" s="46" t="n">
        <x:v>5</x:v>
      </x:c>
      <x:c r="B9" s="47" t="str">
        <x:v>For Buy and Sell, ask the participant to explain who receives each currency.</x:v>
      </x:c>
      <x:c r="C9" s="47" t="str">
        <x:v>Misunderstanding field and note</x:v>
      </x:c>
      <x:c r="D9" s="47" t="str">
        <x:v>Before confirmation</x:v>
      </x:c>
      <x:c r="E9" s="47" t="str">
        <x:v>Meaning explained</x:v>
      </x:c>
      <x:c r="F9" s="47" t="str">
        <x:v>Any reversed shop perspective is critical</x:v>
      </x:c>
    </x:row>
    <x:row r="10">
      <x:c r="A10" s="46" t="n">
        <x:v>6</x:v>
      </x:c>
      <x:c r="B10" s="47" t="str">
        <x:v>Ask native reviewers to review terminology and mixed-direction amounts separately.</x:v>
      </x:c>
      <x:c r="C10" s="47" t="str">
        <x:v>Language Review rows</x:v>
      </x:c>
      <x:c r="D10" s="47" t="str">
        <x:v>Localized screen opens</x:v>
      </x:c>
      <x:c r="E10" s="47" t="str">
        <x:v>Reviewer records decision</x:v>
      </x:c>
      <x:c r="F10" s="47" t="str">
        <x:v>Final sign-off requires its own row</x:v>
      </x:c>
    </x:row>
    <x:row r="11">
      <x:c r="A11" s="46" t="n">
        <x:v>7</x:v>
      </x:c>
      <x:c r="B11" s="47" t="str">
        <x:v>Resolve every failed threshold and rerun affected tasks before release approval.</x:v>
      </x:c>
      <x:c r="C11" s="47" t="str">
        <x:v>Updated evidence and issue link</x:v>
      </x:c>
      <x:c r="D11" s="47" t="str">
        <x:v>Summary shows failure</x:v>
      </x:c>
      <x:c r="E11" s="47" t="str">
        <x:v>All gates pass</x:v>
      </x:c>
      <x:c r="F11" s="47" t="str">
        <x:v>Do not overwrite earlier observations</x:v>
      </x:c>
    </x:row>
    <x:row r="12">
      <x:c r="A12" s="46"/>
      <x:c r="B12" s="47"/>
      <x:c r="C12" s="47"/>
      <x:c r="D12" s="47"/>
      <x:c r="E12" s="47"/>
      <x:c r="F12" s="47"/>
    </x:row>
    <x:row r="13">
      <x:c r="A13" s="46"/>
      <x:c r="B13" s="47"/>
      <x:c r="C13" s="47"/>
      <x:c r="D13" s="47"/>
      <x:c r="E13" s="47"/>
      <x:c r="F13" s="47"/>
    </x:row>
    <x:row r="14" ht="32" customHeight="1">
      <x:c r="A14" s="48" t="str">
        <x:v>Task</x:v>
      </x:c>
      <x:c r="B14" s="49" t="str">
        <x:v>Primary persona</x:v>
      </x:c>
      <x:c r="C14" s="49" t="str">
        <x:v>Starting point</x:v>
      </x:c>
      <x:c r="D14" s="49" t="str">
        <x:v>Finish condition</x:v>
      </x:c>
      <x:c r="E14" s="49" t="str">
        <x:v>Target</x:v>
      </x:c>
      <x:c r="F14" s="50" t="str">
        <x:v>Daily journey</x:v>
      </x:c>
    </x:row>
    <x:row r="15">
      <x:c r="A15" s="46" t="str">
        <x:v>Find primary Home action</x:v>
      </x:c>
      <x:c r="B15" s="47" t="str">
        <x:v>First-time worker</x:v>
      </x:c>
      <x:c r="C15" s="47" t="str">
        <x:v>Role Home</x:v>
      </x:c>
      <x:c r="D15" s="47" t="str">
        <x:v>Correct action named</x:v>
      </x:c>
      <x:c r="E15" s="47" t="str">
        <x:v>Within 5 seconds</x:v>
      </x:c>
      <x:c r="F15" s="47" t="str">
        <x:v>No</x:v>
      </x:c>
    </x:row>
    <x:row r="16">
      <x:c r="A16" s="46" t="str">
        <x:v>Buy currency</x:v>
      </x:c>
      <x:c r="B16" s="47" t="str">
        <x:v>Cashier</x:v>
      </x:c>
      <x:c r="C16" s="47" t="str">
        <x:v>Role Home</x:v>
      </x:c>
      <x:c r="D16" s="47" t="str">
        <x:v>Buy form ready for review</x:v>
      </x:c>
      <x:c r="E16" s="47" t="str">
        <x:v>Within 25 seconds; at most 2 taps to amount</x:v>
      </x:c>
      <x:c r="F16" s="47" t="str">
        <x:v>Yes</x:v>
      </x:c>
    </x:row>
    <x:row r="17">
      <x:c r="A17" s="46" t="str">
        <x:v>Sell currency</x:v>
      </x:c>
      <x:c r="B17" s="47" t="str">
        <x:v>Cashier</x:v>
      </x:c>
      <x:c r="C17" s="47" t="str">
        <x:v>Role Home</x:v>
      </x:c>
      <x:c r="D17" s="47" t="str">
        <x:v>Sell form ready for review</x:v>
      </x:c>
      <x:c r="E17" s="47" t="str">
        <x:v>Within 25 seconds; at most 2 taps to amount</x:v>
      </x:c>
      <x:c r="F17" s="47" t="str">
        <x:v>Yes</x:v>
      </x:c>
    </x:row>
    <x:row r="18">
      <x:c r="A18" s="46" t="str">
        <x:v>Receive customer money</x:v>
      </x:c>
      <x:c r="B18" s="47" t="str">
        <x:v>Cashier</x:v>
      </x:c>
      <x:c r="C18" s="47" t="str">
        <x:v>Role Home</x:v>
      </x:c>
      <x:c r="D18" s="47" t="str">
        <x:v>Money In form ready for review</x:v>
      </x:c>
      <x:c r="E18" s="47" t="str">
        <x:v>Unassisted</x:v>
      </x:c>
      <x:c r="F18" s="47" t="str">
        <x:v>Yes</x:v>
      </x:c>
    </x:row>
    <x:row r="19">
      <x:c r="A19" s="46" t="str">
        <x:v>Send Hawala</x:v>
      </x:c>
      <x:c r="B19" s="47" t="str">
        <x:v>Cashier</x:v>
      </x:c>
      <x:c r="C19" s="47" t="str">
        <x:v>Role Home</x:v>
      </x:c>
      <x:c r="D19" s="47" t="str">
        <x:v>Hawala send form ready for review</x:v>
      </x:c>
      <x:c r="E19" s="47" t="str">
        <x:v>Unassisted</x:v>
      </x:c>
      <x:c r="F19" s="47" t="str">
        <x:v>Yes</x:v>
      </x:c>
    </x:row>
    <x:row r="20">
      <x:c r="A20" s="46" t="str">
        <x:v>Settle debt</x:v>
      </x:c>
      <x:c r="B20" s="47" t="str">
        <x:v>Manager</x:v>
      </x:c>
      <x:c r="C20" s="47" t="str">
        <x:v>Role Home</x:v>
      </x:c>
      <x:c r="D20" s="47" t="str">
        <x:v>Debt selected and settlement form ready</x:v>
      </x:c>
      <x:c r="E20" s="47" t="str">
        <x:v>Unassisted</x:v>
      </x:c>
      <x:c r="F20" s="47" t="str">
        <x:v>Yes</x:v>
      </x:c>
    </x:row>
    <x:row r="21">
      <x:c r="A21" s="46" t="str">
        <x:v>Review approval</x:v>
      </x:c>
      <x:c r="B21" s="47" t="str">
        <x:v>Owner or Manager</x:v>
      </x:c>
      <x:c r="C21" s="47" t="str">
        <x:v>Role Home</x:v>
      </x:c>
      <x:c r="D21" s="47" t="str">
        <x:v>Decision screen loaded</x:v>
      </x:c>
      <x:c r="E21" s="47" t="str">
        <x:v>Under 10 seconds</x:v>
      </x:c>
      <x:c r="F21" s="47" t="str">
        <x:v>No</x:v>
      </x:c>
    </x:row>
    <x:row r="22">
      <x:c r="A22" s="46" t="str">
        <x:v>Open daily summary</x:v>
      </x:c>
      <x:c r="B22" s="47" t="str">
        <x:v>Accountant</x:v>
      </x:c>
      <x:c r="C22" s="47" t="str">
        <x:v>Role Home</x:v>
      </x:c>
      <x:c r="D22" s="47" t="str">
        <x:v>Daily Summary loaded</x:v>
      </x:c>
      <x:c r="E22" s="47" t="str">
        <x:v>One primary action</x:v>
      </x:c>
      <x:c r="F22" s="47" t="str">
        <x:v>No</x:v>
      </x:c>
    </x:row>
    <x:row r="23">
      <x:c r="A23" s="46" t="str">
        <x:v>Review compliance case</x:v>
      </x:c>
      <x:c r="B23" s="47" t="str">
        <x:v>Compliance Officer</x:v>
      </x:c>
      <x:c r="C23" s="47" t="str">
        <x:v>Role Home</x:v>
      </x:c>
      <x:c r="D23" s="47" t="str">
        <x:v>Case review loaded</x:v>
      </x:c>
      <x:c r="E23" s="47" t="str">
        <x:v>Unassisted</x:v>
      </x:c>
      <x:c r="F23" s="47" t="str">
        <x:v>No</x:v>
      </x:c>
    </x:row>
    <x:row r="24">
      <x:c r="A24" s="46" t="str">
        <x:v>Request business access</x:v>
      </x:c>
      <x:c r="B24" s="47" t="str">
        <x:v>First-time worker</x:v>
      </x:c>
      <x:c r="C24" s="47" t="str">
        <x:v>Join entry</x:v>
      </x:c>
      <x:c r="D24" s="47" t="str">
        <x:v>Pending lobby shown</x:v>
      </x:c>
      <x:c r="E24" s="47" t="str">
        <x:v>Unassisted</x:v>
      </x:c>
      <x:c r="F24" s="47" t="str">
        <x:v>No</x:v>
      </x:c>
    </x:row>
    <x:row r="25">
      <x:c r="A25" s="46"/>
      <x:c r="B25" s="47"/>
      <x:c r="C25" s="47"/>
      <x:c r="D25" s="47"/>
      <x:c r="E25" s="47"/>
      <x:c r="F25" s="47"/>
    </x:row>
    <x:row r="26">
      <x:c r="A26" s="46"/>
      <x:c r="B26" s="47"/>
      <x:c r="C26" s="47"/>
      <x:c r="D26" s="47"/>
      <x:c r="E26" s="47"/>
      <x:c r="F26" s="47"/>
    </x:row>
    <x:row r="27" ht="32" customHeight="1">
      <x:c r="A27" s="48" t="str">
        <x:v>Source</x:v>
      </x:c>
      <x:c r="B27" s="50" t="str">
        <x:v>Reference</x:v>
      </x:c>
      <x:c r="C27" s="51"/>
      <x:c r="D27" s="51"/>
      <x:c r="E27" s="51"/>
      <x:c r="F27" s="51"/>
    </x:row>
    <x:row r="28">
      <x:c r="A28" s="46" t="str">
        <x:v>Implementation command</x:v>
      </x:c>
      <x:c r="B28" s="47" t="str">
        <x:v>SARAFI_Calm_Premium_Implementation_Command_v4.md — Human UAT and definition of done</x:v>
      </x:c>
      <x:c r="C28" s="47"/>
      <x:c r="D28" s="47"/>
      <x:c r="E28" s="47"/>
      <x:c r="F28" s="47"/>
    </x:row>
    <x:row r="29">
      <x:c r="A29" s="46" t="str">
        <x:v>Professional re-audit</x:v>
      </x:c>
      <x:c r="B29" s="47" t="str">
        <x:v>SARAFI_Professional_Multi_Persona_Cognitive_Load_Reaudit_v4.md — Human acceptance protocol</x:v>
      </x:c>
      <x:c r="C29" s="47"/>
      <x:c r="D29" s="47"/>
      <x:c r="E29" s="47"/>
      <x:c r="F29" s="47"/>
    </x:row>
    <x:row r="30">
      <x:c r="A30" s="46" t="str">
        <x:v>Candidate audit</x:v>
      </x:c>
      <x:c r="B30" s="47" t="str">
        <x:v>docs/audits/calm-premium-v4-implementation-20260907.md</x:v>
      </x:c>
      <x:c r="C30" s="47"/>
      <x:c r="D30" s="47"/>
      <x:c r="E30" s="47"/>
      <x:c r="F30" s="47"/>
    </x:row>
    <x:row r="31">
      <x:c r="A31" s="46" t="str">
        <x:v>Task-path targets</x:v>
      </x:c>
      <x:c r="B31" s="47" t="str">
        <x:v>artifacts/calm-premium-v4/task-paths.json</x:v>
      </x:c>
      <x:c r="C31" s="47"/>
      <x:c r="D31" s="47"/>
      <x:c r="E31" s="47"/>
      <x:c r="F31" s="47"/>
    </x:row>
  </x:sheetData>
  <x:pageMargins left="0.7" right="0.7" top="0.75" bottom="0.75" header="0.3" footer="0.3"/>
</x:worksheet>
</file>